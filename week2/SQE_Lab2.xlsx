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BDUR REHMAN\Documents\Assignment 6 sem\SQE Lab\sqe-lab-abdurrehman\week2\"/>
    </mc:Choice>
  </mc:AlternateContent>
  <xr:revisionPtr revIDLastSave="0" documentId="13_ncr:1_{1DD7DF8B-AFD1-472A-9F74-B436BA4B39F2}" xr6:coauthVersionLast="47" xr6:coauthVersionMax="47" xr10:uidLastSave="{00000000-0000-0000-0000-000000000000}"/>
  <bookViews>
    <workbookView xWindow="-110" yWindow="-110" windowWidth="19420" windowHeight="10300" firstSheet="2" activeTab="2" xr2:uid="{00000000-000D-0000-FFFF-FFFF00000000}"/>
  </bookViews>
  <sheets>
    <sheet name="📋 Session Setup" sheetId="1" r:id="rId1"/>
    <sheet name="📱 Structured — App 1" sheetId="2" r:id="rId2"/>
    <sheet name="📱 Structured — App 2" sheetId="3" r:id="rId3"/>
    <sheet name="App 1 (All 8)" sheetId="4" r:id="rId4"/>
    <sheet name="App 2 (All 8)" sheetId="5" r:id="rId5"/>
    <sheet name="📊 Comparative" sheetId="6" r:id="rId6"/>
    <sheet name="💡 Recommendations" sheetId="7" r:id="rId7"/>
    <sheet name="📄 Report Outline" sheetId="8" r:id="rId8"/>
    <sheet name="🏆 Grading Rubric" sheetId="9" r:id="rId9"/>
    <sheet name="📖 ISO 25010 Reference"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6" i="2" l="1"/>
  <c r="C7" i="2"/>
  <c r="C5" i="2"/>
  <c r="E13" i="9"/>
  <c r="E31" i="6"/>
  <c r="G31" i="6" s="1"/>
  <c r="D31" i="6"/>
  <c r="F31" i="6" s="1"/>
  <c r="E30" i="6"/>
  <c r="G30" i="6" s="1"/>
  <c r="D30" i="6"/>
  <c r="F30" i="6" s="1"/>
  <c r="E29" i="6"/>
  <c r="G29" i="6" s="1"/>
  <c r="D29" i="6"/>
  <c r="F29" i="6" s="1"/>
  <c r="E28" i="6"/>
  <c r="G28" i="6" s="1"/>
  <c r="D28" i="6"/>
  <c r="F28" i="6" s="1"/>
  <c r="E27" i="6"/>
  <c r="G27" i="6" s="1"/>
  <c r="D27" i="6"/>
  <c r="F27" i="6" s="1"/>
  <c r="E26" i="6"/>
  <c r="G26" i="6" s="1"/>
  <c r="D26" i="6"/>
  <c r="F26" i="6" s="1"/>
  <c r="E25" i="6"/>
  <c r="G25" i="6" s="1"/>
  <c r="D25" i="6"/>
  <c r="F25" i="6" s="1"/>
  <c r="E24" i="6"/>
  <c r="G24" i="6" s="1"/>
  <c r="D24" i="6"/>
  <c r="F24" i="6" s="1"/>
  <c r="E19" i="6"/>
  <c r="D19" i="6"/>
  <c r="G17" i="6"/>
  <c r="F17" i="6"/>
  <c r="G16" i="6"/>
  <c r="F16" i="6"/>
  <c r="G15" i="6"/>
  <c r="F15" i="6"/>
  <c r="G14" i="6"/>
  <c r="F14" i="6"/>
  <c r="G13" i="6"/>
  <c r="F13" i="6"/>
  <c r="G12" i="6"/>
  <c r="F12" i="6"/>
  <c r="G11" i="6"/>
  <c r="F11" i="6"/>
  <c r="G10" i="6"/>
  <c r="F10" i="6"/>
  <c r="F20" i="4"/>
  <c r="F19" i="4"/>
  <c r="F18" i="4"/>
  <c r="F17" i="4"/>
  <c r="F16" i="4"/>
  <c r="F15" i="4"/>
  <c r="F14" i="4"/>
  <c r="F13" i="4"/>
  <c r="F20" i="5"/>
  <c r="F19" i="5"/>
  <c r="F18" i="5"/>
  <c r="F17" i="5"/>
  <c r="F16" i="5"/>
  <c r="F15" i="5"/>
  <c r="F14" i="5"/>
  <c r="F13" i="5"/>
  <c r="G19" i="6" l="1"/>
  <c r="F21" i="5"/>
  <c r="F21" i="4"/>
  <c r="F19" i="6"/>
</calcChain>
</file>

<file path=xl/sharedStrings.xml><?xml version="1.0" encoding="utf-8"?>
<sst xmlns="http://schemas.openxmlformats.org/spreadsheetml/2006/main" count="1173" uniqueCount="673">
  <si>
    <t>SQE Lab Session 2 — ISO 25010 Quality Attribute Analysis</t>
  </si>
  <si>
    <t>Software Quality Engineering  |  Lab Manual  |  Engr. Asim Javaid</t>
  </si>
  <si>
    <t xml:space="preserve">  STUDENT INFORMATION</t>
  </si>
  <si>
    <t>Evaluator Full Name</t>
  </si>
  <si>
    <t>Student ID</t>
  </si>
  <si>
    <t>Section / Group</t>
  </si>
  <si>
    <t>Date of Evaluation</t>
  </si>
  <si>
    <t>Device Model</t>
  </si>
  <si>
    <t>OS Version</t>
  </si>
  <si>
    <t>Network Conditions</t>
  </si>
  <si>
    <t xml:space="preserve">  APPLICATION PAIR SELECTION</t>
  </si>
  <si>
    <t>Choose ONE pair below. Circle / highlight your selection.</t>
  </si>
  <si>
    <t>Pair</t>
  </si>
  <si>
    <t>App 1</t>
  </si>
  <si>
    <t>App 2</t>
  </si>
  <si>
    <t>Primary Focus</t>
  </si>
  <si>
    <t>A</t>
  </si>
  <si>
    <t>WhatsApp</t>
  </si>
  <si>
    <t>Telegram</t>
  </si>
  <si>
    <t>Security, Usability, Reliability — closed vs open E2E encryption</t>
  </si>
  <si>
    <t>B</t>
  </si>
  <si>
    <t>Google Maps</t>
  </si>
  <si>
    <t>Apple Maps</t>
  </si>
  <si>
    <t>Performance, Compatibility, Usability — navigation design philosophies</t>
  </si>
  <si>
    <t>C</t>
  </si>
  <si>
    <t>Gmail</t>
  </si>
  <si>
    <t>Outlook Mobile</t>
  </si>
  <si>
    <t>Functional Suitability, Usability, Portability — email client comparison</t>
  </si>
  <si>
    <t>D</t>
  </si>
  <si>
    <t>Chrome Mobile</t>
  </si>
  <si>
    <t>Safari</t>
  </si>
  <si>
    <t>Performance, Compatibility, Security — native vs cross-platform</t>
  </si>
  <si>
    <t>E</t>
  </si>
  <si>
    <t>Spotify</t>
  </si>
  <si>
    <t>YouTube Music</t>
  </si>
  <si>
    <t>Performance, Reliability, Usability — streaming service quality</t>
  </si>
  <si>
    <t>F</t>
  </si>
  <si>
    <t>University App 1</t>
  </si>
  <si>
    <t>University App 2</t>
  </si>
  <si>
    <t>Full ISO 25010 analysis — choose any two university-context apps</t>
  </si>
  <si>
    <t xml:space="preserve">  SELECTED PAIR — Fill in below</t>
  </si>
  <si>
    <t>Pair Letter</t>
  </si>
  <si>
    <t>App 1 Name</t>
  </si>
  <si>
    <t>App 2 Name</t>
  </si>
  <si>
    <t xml:space="preserve">  APP VERSION METADATA</t>
  </si>
  <si>
    <t>Field</t>
  </si>
  <si>
    <t>App Name</t>
  </si>
  <si>
    <t>Version Number</t>
  </si>
  <si>
    <t>Platform</t>
  </si>
  <si>
    <t>Min OS Required</t>
  </si>
  <si>
    <t>App Store Rating</t>
  </si>
  <si>
    <t>Last Updated</t>
  </si>
  <si>
    <t xml:space="preserve">  PRE-LAB CHECKLIST</t>
  </si>
  <si>
    <t>#</t>
  </si>
  <si>
    <t>Task</t>
  </si>
  <si>
    <t>When</t>
  </si>
  <si>
    <t>Status (✓ / ✗)</t>
  </si>
  <si>
    <t>1</t>
  </si>
  <si>
    <t>Read ISO/IEC 25010 Sections 1–4 overview</t>
  </si>
  <si>
    <t>Before Lab</t>
  </si>
  <si>
    <t>2</t>
  </si>
  <si>
    <t>Identify 3 daily apps &amp; note one quality concern each</t>
  </si>
  <si>
    <t>3</t>
  </si>
  <si>
    <t>Ensure both apps in chosen pair are installed on device</t>
  </si>
  <si>
    <t>4</t>
  </si>
  <si>
    <t>Bring device with stopwatch / timer capability</t>
  </si>
  <si>
    <t>Lab Start</t>
  </si>
  <si>
    <t>5</t>
  </si>
  <si>
    <t>Have GitHub repository from Lab 1 open (week2/ folder)</t>
  </si>
  <si>
    <t>6</t>
  </si>
  <si>
    <t>Install matplotlib: pip install matplotlib numpy</t>
  </si>
  <si>
    <t xml:space="preserve">  RATING SCALE QUICK REFERENCE</t>
  </si>
  <si>
    <t>Rating</t>
  </si>
  <si>
    <t>Label</t>
  </si>
  <si>
    <t>Definition</t>
  </si>
  <si>
    <t>Example Evidence</t>
  </si>
  <si>
    <t>Excellent</t>
  </si>
  <si>
    <t>Exceeds expectations. Fully &amp; consistently satisfied.</t>
  </si>
  <si>
    <t>App launches &lt;1s; 2FA enabled; zero crashes in 10-min session</t>
  </si>
  <si>
    <t>Good</t>
  </si>
  <si>
    <t>Mostly satisfied. Minor issues, rarely noticeable.</t>
  </si>
  <si>
    <t>Occasional 2s load; settings menu slightly hard to find</t>
  </si>
  <si>
    <t>Acceptable</t>
  </si>
  <si>
    <t>Partially satisfied. Noticeable but system remains usable.</t>
  </si>
  <si>
    <t>Crashes once per 10 min; offline shows stale data</t>
  </si>
  <si>
    <t>Poor</t>
  </si>
  <si>
    <t>Mostly unsatisfied. Significant issues degrade quality.</t>
  </si>
  <si>
    <t>Crashes twice in 5 min; loading takes 8+ seconds</t>
  </si>
  <si>
    <t>Unacceptable</t>
  </si>
  <si>
    <t>Critical failures. Characteristic essentially absent.</t>
  </si>
  <si>
    <t>Data wiped on restart; cannot perform primary purpose</t>
  </si>
  <si>
    <t>App 1 Evaluation (Characteristics 1–8)</t>
  </si>
  <si>
    <t>50 min  |  Individual — use your own device  |  Min. 3 observations per characteristic</t>
  </si>
  <si>
    <t xml:space="preserve">  APP 1 METADATA</t>
  </si>
  <si>
    <t>Evaluation Date</t>
  </si>
  <si>
    <t>Start Time</t>
  </si>
  <si>
    <t xml:space="preserve">  B.2 CHARACTERISTIC 1 — Functional Suitability (Weight: 15%)</t>
  </si>
  <si>
    <t>Feature / Use Case to Test</t>
  </si>
  <si>
    <t>How to Test</t>
  </si>
  <si>
    <t>Pass / Fail / Partial</t>
  </si>
  <si>
    <t>Notes</t>
  </si>
  <si>
    <t>Evidence Screenshot</t>
  </si>
  <si>
    <t>Primary core function</t>
  </si>
  <si>
    <t>Perform the app's main purpose (send msg / play song / navigate)</t>
  </si>
  <si>
    <t>Secondary feature 1</t>
  </si>
  <si>
    <t>Test a key secondary feature (e.g. file sharing, playlist creation)</t>
  </si>
  <si>
    <t>Secondary feature 2</t>
  </si>
  <si>
    <t>Test another secondary feature (e.g. voice call, offline maps)</t>
  </si>
  <si>
    <t>Error handling</t>
  </si>
  <si>
    <t>Enter invalid input (empty fields, wrong format). What happens?</t>
  </si>
  <si>
    <t>Edge case</t>
  </si>
  <si>
    <t>Test with extreme inputs (very long text, large file, no internet)</t>
  </si>
  <si>
    <t>CHARACTERISTIC 1 RATING (1–5):</t>
  </si>
  <si>
    <t>Justification:</t>
  </si>
  <si>
    <t xml:space="preserve">  B.3 CHARACTERISTIC 2 — Performance Efficiency (Weight: 12%)</t>
  </si>
  <si>
    <t>Measurement</t>
  </si>
  <si>
    <t>Test Method</t>
  </si>
  <si>
    <t>Your Result</t>
  </si>
  <si>
    <t>Target (Rating 4+)</t>
  </si>
  <si>
    <t>Cold start time</t>
  </si>
  <si>
    <t>Stopwatch: tap app icon → fully usable screen</t>
  </si>
  <si>
    <t>&lt; 3 seconds</t>
  </si>
  <si>
    <t>Key operation 1 (primary)</t>
  </si>
  <si>
    <t>Time the main action (search/send/load feed)</t>
  </si>
  <si>
    <t>&lt; 1 second</t>
  </si>
  <si>
    <t>Key operation 2 (secondary)</t>
  </si>
  <si>
    <t>Time a secondary action (navigate/load image)</t>
  </si>
  <si>
    <t>&lt; 2 seconds</t>
  </si>
  <si>
    <t>Battery drain</t>
  </si>
  <si>
    <t>Device Settings &gt; Battery: % used in 10 min active use</t>
  </si>
  <si>
    <t>&lt; 3%</t>
  </si>
  <si>
    <t>Slow network</t>
  </si>
  <si>
    <t>Switch to 4G only / poor signal — time key operation</t>
  </si>
  <si>
    <t>&lt; 5 seconds</t>
  </si>
  <si>
    <t>Data usage</t>
  </si>
  <si>
    <t>Device Settings &gt; Data: MB used in 10 min active use</t>
  </si>
  <si>
    <t>&lt; 10 MB</t>
  </si>
  <si>
    <t>CHARACTERISTIC 2 RATING (1–5):</t>
  </si>
  <si>
    <t xml:space="preserve">  B.4 CHARACTERISTIC 3 — Compatibility (Weight: 10%)</t>
  </si>
  <si>
    <t>Compatibility Check</t>
  </si>
  <si>
    <t>What to Look For</t>
  </si>
  <si>
    <t>Result</t>
  </si>
  <si>
    <t>Evidence / Screenshot</t>
  </si>
  <si>
    <t>Min OS version</t>
  </si>
  <si>
    <t>Check Play Store / App Store listing for minimum supported OS</t>
  </si>
  <si>
    <t>Platform availability</t>
  </si>
  <si>
    <t>List all platforms: Android, iOS, Windows, macOS, Web, Linux</t>
  </si>
  <si>
    <t>Cross-device sync</t>
  </si>
  <si>
    <t>Log in on a 2nd device — do data &amp; settings appear?</t>
  </si>
  <si>
    <t>Content sharing (in)</t>
  </si>
  <si>
    <t>Can you share content FROM other apps INTO this app?</t>
  </si>
  <si>
    <t>Content sharing (out)</t>
  </si>
  <si>
    <t>Can you share content FROM this app to 3+ other apps?</t>
  </si>
  <si>
    <t>Dark mode support</t>
  </si>
  <si>
    <t>Does the app respect your OS dark mode / accessibility settings?</t>
  </si>
  <si>
    <t>OS version compat.</t>
  </si>
  <si>
    <t>Any features broken on your specific OS version?</t>
  </si>
  <si>
    <t>CHARACTERISTIC 3 RATING (1–5):</t>
  </si>
  <si>
    <t xml:space="preserve">  B.5 CHARACTERISTIC 4 — Usability (Weight: 15%)</t>
  </si>
  <si>
    <t>Task Description</t>
  </si>
  <si>
    <t>Time (sec)</t>
  </si>
  <si>
    <t>Errors Made</t>
  </si>
  <si>
    <t>Completed?</t>
  </si>
  <si>
    <t>Task 1</t>
  </si>
  <si>
    <t>Find and change a core setting (notifications / theme / privacy)</t>
  </si>
  <si>
    <t>Task 2</t>
  </si>
  <si>
    <t>Perform the primary function for the FIRST time (new message / playlist / route)</t>
  </si>
  <si>
    <t>Task 3</t>
  </si>
  <si>
    <t>Find the Help or Support section</t>
  </si>
  <si>
    <t>Task 4</t>
  </si>
  <si>
    <t>Share content FROM this app to another app</t>
  </si>
  <si>
    <t>Task 5</t>
  </si>
  <si>
    <t>Delete an item (message, account entry, saved item)</t>
  </si>
  <si>
    <t xml:space="preserve">  ADDITIONAL USABILITY CHECKS</t>
  </si>
  <si>
    <t>UI Check</t>
  </si>
  <si>
    <t>What to Evaluate</t>
  </si>
  <si>
    <t>Observation</t>
  </si>
  <si>
    <t>Rating Impact</t>
  </si>
  <si>
    <t>Score</t>
  </si>
  <si>
    <t>Error messages</t>
  </si>
  <si>
    <t>Are error messages clear and explain how to fix the issue?</t>
  </si>
  <si>
    <t>Visual hierarchy</t>
  </si>
  <si>
    <t>Is the most important info most prominent on key screens?</t>
  </si>
  <si>
    <t>Onboarding</t>
  </si>
  <si>
    <t>Is there any in-app onboarding / tutorial for new users?</t>
  </si>
  <si>
    <t>Accessibility</t>
  </si>
  <si>
    <t>Does the app support large text, high contrast, screen reader?</t>
  </si>
  <si>
    <t>CHARACTERISTIC 4 RATING (1–5):</t>
  </si>
  <si>
    <t xml:space="preserve">  B.6 CHARACTERISTIC 5 — Reliability (Weight: 15%)</t>
  </si>
  <si>
    <t>Check</t>
  </si>
  <si>
    <t>10-min continuous use</t>
  </si>
  <si>
    <t>Use app continuously for 10 minutes — note any crashes or freezes</t>
  </si>
  <si>
    <t>Airplane Mode test</t>
  </si>
  <si>
    <t>Enable Airplane Mode mid-session — observe how app handles no connectivity</t>
  </si>
  <si>
    <t>Reconnect recovery</t>
  </si>
  <si>
    <t>Re-enable connectivity — does the app recover gracefully and sync data?</t>
  </si>
  <si>
    <t>Force-close mid-task</t>
  </si>
  <si>
    <t>Force-close the app mid-task — is your progress saved when you reopen?</t>
  </si>
  <si>
    <t>Server error messaging</t>
  </si>
  <si>
    <t>Check if the app shows meaningful error messages when server is unreachable</t>
  </si>
  <si>
    <t>CHARACTERISTIC 5 RATING (1–5):</t>
  </si>
  <si>
    <t xml:space="preserve">  B.7 CHARACTERISTIC 6 — Security (Weight: 15%)</t>
  </si>
  <si>
    <t>HTTPS / encryption</t>
  </si>
  <si>
    <t>Check: does the app use HTTPS? (look for padlock in web version)</t>
  </si>
  <si>
    <t>Permissions audit</t>
  </si>
  <si>
    <t>Review permission list in OS settings — are all permissions justified by the app's purpose?</t>
  </si>
  <si>
    <t>2FA / biometrics</t>
  </si>
  <si>
    <t>Check: is 2FA / biometric login available in settings?</t>
  </si>
  <si>
    <t>Privacy policy review</t>
  </si>
  <si>
    <t>Review Privacy Policy — what data is collected? Is it sold to third parties?</t>
  </si>
  <si>
    <t>Login lockout</t>
  </si>
  <si>
    <t>Test: what happens after 3 incorrect password attempts?</t>
  </si>
  <si>
    <t>Auto-lock on inactivity</t>
  </si>
  <si>
    <t>Check: does the app lock automatically after a period of inactivity?</t>
  </si>
  <si>
    <t>CHARACTERISTIC 6 RATING (1–5):</t>
  </si>
  <si>
    <t xml:space="preserve">  B.8 CHARACTERISTIC 7 — Maintainability (Weight: 8%)</t>
  </si>
  <si>
    <t>Update frequency</t>
  </si>
  <si>
    <t>Check app's update history: how frequently are updates released?</t>
  </si>
  <si>
    <t>Changelog quality</t>
  </si>
  <si>
    <t>Read release notes / changelog: are bug fixes clearly documented with specific details?</t>
  </si>
  <si>
    <t>Open bugs review</t>
  </si>
  <si>
    <t>Check app store reviews mentioning long-standing unfixed bugs</t>
  </si>
  <si>
    <t>CVE response history</t>
  </si>
  <si>
    <t>Note how quickly the developer responded to critical security vulnerabilities historically</t>
  </si>
  <si>
    <t>Bug tracker / channel</t>
  </si>
  <si>
    <t>Check if a public bug tracker or feedback channel exists</t>
  </si>
  <si>
    <t>CHARACTERISTIC 7 RATING (1–5):</t>
  </si>
  <si>
    <t xml:space="preserve">  B.9 CHARACTERISTIC 8 — Portability (Weight: 10%)</t>
  </si>
  <si>
    <t>Platform support</t>
  </si>
  <si>
    <t>Check which platforms app supports: iOS, Android, Windows, macOS, Web, Linux?</t>
  </si>
  <si>
    <t>Install / uninstall</t>
  </si>
  <si>
    <t>Test installation and uninstallation process — is it clean with no residual files?</t>
  </si>
  <si>
    <t>Cross-device data sync</t>
  </si>
  <si>
    <t>Check if settings and data sync across devices automatically</t>
  </si>
  <si>
    <t>Accessibility sync</t>
  </si>
  <si>
    <t>Verify the app respects system accessibility settings (font size, dark mode)</t>
  </si>
  <si>
    <t>CHARACTERISTIC 8 RATING (1–5):</t>
  </si>
  <si>
    <t>App 2 Evaluation (Characteristics 1–8)</t>
  </si>
  <si>
    <t xml:space="preserve">  APP 2 METADATA</t>
  </si>
  <si>
    <t xml:space="preserve">  C.3 CHARACTERISTIC 1 — Functional Suitability (Weight: 15%)</t>
  </si>
  <si>
    <t xml:space="preserve">  C.4 CHARACTERISTIC 2 — Performance Efficiency (Weight: 12%)</t>
  </si>
  <si>
    <t xml:space="preserve">  C.5 CHARACTERISTIC 3 — Compatibility (Weight: 10%)</t>
  </si>
  <si>
    <t xml:space="preserve">  C.6 CHARACTERISTIC 4 — Usability (Weight: 15%)</t>
  </si>
  <si>
    <t xml:space="preserve">  C.7 CHARACTERISTIC 5 — Reliability (Weight: 15%)</t>
  </si>
  <si>
    <t xml:space="preserve">  C.8 CHARACTERISTIC 6 — Security (Weight: 15%)</t>
  </si>
  <si>
    <t xml:space="preserve">  C.9 CHARACTERISTIC 7 — Maintainability (Weight: 8%)</t>
  </si>
  <si>
    <t xml:space="preserve">  C.10 CHARACTERISTIC 8 — Portability (Weight: 10%)</t>
  </si>
  <si>
    <t>App 1 — All 8 ISO 25010 Characteristics</t>
  </si>
  <si>
    <t>Complete all 8 characteristics with rating AND evidence before moving to Exp D</t>
  </si>
  <si>
    <t xml:space="preserve">  APP METADATA</t>
  </si>
  <si>
    <t>Version</t>
  </si>
  <si>
    <t>Device</t>
  </si>
  <si>
    <t>Date</t>
  </si>
  <si>
    <t xml:space="preserve">  FULL EVALUATION CHECKLIST</t>
  </si>
  <si>
    <t>Quality Characteristic (ISO 25010)</t>
  </si>
  <si>
    <t>Rating
(1–5)</t>
  </si>
  <si>
    <t>Weight</t>
  </si>
  <si>
    <t>Observations / Evidence  (min. 2 specific points)</t>
  </si>
  <si>
    <t>Weighted
Score</t>
  </si>
  <si>
    <t>1. Functional Suitability</t>
  </si>
  <si>
    <t>15%</t>
  </si>
  <si>
    <t>2. Performance Efficiency</t>
  </si>
  <si>
    <t>12%</t>
  </si>
  <si>
    <t>3. Compatibility</t>
  </si>
  <si>
    <t>10%</t>
  </si>
  <si>
    <t>4. Usability</t>
  </si>
  <si>
    <t>5. Reliability</t>
  </si>
  <si>
    <t>6. Security</t>
  </si>
  <si>
    <t>7. Maintainability</t>
  </si>
  <si>
    <t>8%</t>
  </si>
  <si>
    <t>8. Portability</t>
  </si>
  <si>
    <t>WEIGHTED TOTAL SCORE (out of 5.00)</t>
  </si>
  <si>
    <t xml:space="preserve">  SELF-CHECK BEFORE MOVING TO EXPERIMENT D</t>
  </si>
  <si>
    <t>Question</t>
  </si>
  <si>
    <t>Evidence</t>
  </si>
  <si>
    <t>Every rating has ≥1 specific observation in Notes?</t>
  </si>
  <si>
    <t>Add at least one concrete observation before proceeding.</t>
  </si>
  <si>
    <t>Scale</t>
  </si>
  <si>
    <t>All ratings are whole numbers between 1 and 5?</t>
  </si>
  <si>
    <t>Revise any fractional or out-of-range ratings.</t>
  </si>
  <si>
    <t>Range</t>
  </si>
  <si>
    <t>Do your ratings span the full range (not all 4s and 5s)?</t>
  </si>
  <si>
    <t>Re-examine 4s and 5s — look harder for deficiencies.</t>
  </si>
  <si>
    <t>Consistency</t>
  </si>
  <si>
    <t>Similar quality levels rated similarly across both apps?</t>
  </si>
  <si>
    <t>If App 1 gets 5 for security, App 2 needs equivalent scrutiny.</t>
  </si>
  <si>
    <t>Independence</t>
  </si>
  <si>
    <t>Each characteristic rated independently (no brand bias)?</t>
  </si>
  <si>
    <t>Revisit any ratings influenced by brand preference.</t>
  </si>
  <si>
    <t>App 2 — All 8 ISO 25010 Characteristics</t>
  </si>
  <si>
    <t>EXPERIMENT D — Comparative Analysis &amp; Score Summary</t>
  </si>
  <si>
    <t>25 min  |  Complete after both apps are fully evaluated</t>
  </si>
  <si>
    <t xml:space="preserve">  APP IDENTIFICATION</t>
  </si>
  <si>
    <t>Evaluator</t>
  </si>
  <si>
    <t xml:space="preserve">  COMPARATIVE RATING SUMMARY TABLE</t>
  </si>
  <si>
    <t>Quality Characteristic</t>
  </si>
  <si>
    <t>App 1
Rating</t>
  </si>
  <si>
    <t>App 2
Rating</t>
  </si>
  <si>
    <t>Gap
(|A1–A2|)</t>
  </si>
  <si>
    <t>Better App</t>
  </si>
  <si>
    <t>App 1
Weighted</t>
  </si>
  <si>
    <t>App 2
Weighted</t>
  </si>
  <si>
    <t>Margin</t>
  </si>
  <si>
    <t>WEIGHTED TOTAL SCORE</t>
  </si>
  <si>
    <t xml:space="preserve">  PYTHON RADAR CHART — RATINGS REFERENCE</t>
  </si>
  <si>
    <t>Copy these values into your quality_analysis.py script</t>
  </si>
  <si>
    <t>Characteristic</t>
  </si>
  <si>
    <t>App 1 Rating</t>
  </si>
  <si>
    <t>App 2 Rating</t>
  </si>
  <si>
    <t>App 1 Contrib.</t>
  </si>
  <si>
    <t>App 2 Contrib.</t>
  </si>
  <si>
    <t xml:space="preserve">  PYTHON ARRAY STRING (copy into quality_analysis.py)</t>
  </si>
  <si>
    <t xml:space="preserve">  RADAR CHART INTERPRETATION GUIDE</t>
  </si>
  <si>
    <t>Analysis Question</t>
  </si>
  <si>
    <t>How to Answer</t>
  </si>
  <si>
    <t>Where in Report</t>
  </si>
  <si>
    <t>Which app has a larger polygon area?</t>
  </si>
  <si>
    <t>Larger area = higher overall quality score. Name it specifically.</t>
  </si>
  <si>
    <t>Comparative Analysis</t>
  </si>
  <si>
    <t>Where does App 1 extend further than App 2?</t>
  </si>
  <si>
    <t>These spokes = App 1's quality advantages. Name the characteristics.</t>
  </si>
  <si>
    <t>Are there any scores of 2 or below?</t>
  </si>
  <si>
    <t>Scores ≤2 = critical quality gaps requiring immediate attention.</t>
  </si>
  <si>
    <t>Recommendations</t>
  </si>
  <si>
    <t>Both apps score low on the same characteristic?</t>
  </si>
  <si>
    <t>May indicate an industry-wide challenge, not just one app's weakness.</t>
  </si>
  <si>
    <t>Comparative — trade-offs</t>
  </si>
  <si>
    <t>High scores correlating with low scores elsewhere?</t>
  </si>
  <si>
    <t>Look for security vs. usability or performance vs. functionality trade-offs.</t>
  </si>
  <si>
    <t xml:space="preserve">  COMPARATIVE ANALYSIS WRITING SCAFFOLD</t>
  </si>
  <si>
    <t xml:space="preserve">  Para 1 — Overall Scores</t>
  </si>
  <si>
    <t xml:space="preserve">  Para 2 — Biggest Quality Gaps</t>
  </si>
  <si>
    <t xml:space="preserve">  Para 3 — Trade-offs</t>
  </si>
  <si>
    <t xml:space="preserve">  Para 4 — Recommendation</t>
  </si>
  <si>
    <t>SECTION 7 — Quality Improvement Recommendations</t>
  </si>
  <si>
    <t>4 recommendations required: 2 per app  |  Each must follow the Recommendation Formula</t>
  </si>
  <si>
    <t xml:space="preserve">  RECOMMENDATION FORMULA (must follow this structure)</t>
  </si>
  <si>
    <t>📋  [App Name] should [specific action] in order to improve [characteristic] from its current rating of [X] to a target of [Y]. Currently, [specific observed deficiency]. This change would [specific user benefit].</t>
  </si>
  <si>
    <t xml:space="preserve">  EXAMPLES — Good vs Bad Recommendations</t>
  </si>
  <si>
    <t>Quality</t>
  </si>
  <si>
    <t>Example Recommendation</t>
  </si>
  <si>
    <t>App</t>
  </si>
  <si>
    <t>Char.</t>
  </si>
  <si>
    <t>Why?</t>
  </si>
  <si>
    <t>❌ BAD — Vague</t>
  </si>
  <si>
    <t>WhatsApp should improve security.</t>
  </si>
  <si>
    <t>Security</t>
  </si>
  <si>
    <t>No specific action, no mechanism, no evidence</t>
  </si>
  <si>
    <t>❌ BAD — No evidence</t>
  </si>
  <si>
    <t>Telegram needs better reliability because it sometimes crashes.</t>
  </si>
  <si>
    <t>Reliability</t>
  </si>
  <si>
    <t>No specific observation, no target rating</t>
  </si>
  <si>
    <t>✅ GOOD</t>
  </si>
  <si>
    <t>Telegram should add E2E encryption as default for all chats (not just Secret Chats) to improve Security from 4 to 5. Currently, standard chats are stored server-side. Enabling E2E by default gives users same confidentiality WhatsApp already provides.</t>
  </si>
  <si>
    <t>Specific action + evidence + benefit + target rating</t>
  </si>
  <si>
    <t xml:space="preserve">  YOUR RECOMMENDATIONS — Fill in all shaded cells</t>
  </si>
  <si>
    <t>App 1 — Recommendation 1</t>
  </si>
  <si>
    <t>Your Answer</t>
  </si>
  <si>
    <t>Specific Action</t>
  </si>
  <si>
    <t>Characteristic Improved</t>
  </si>
  <si>
    <t>Current Rating</t>
  </si>
  <si>
    <t>Target Rating</t>
  </si>
  <si>
    <t>Specific Deficiency Observed</t>
  </si>
  <si>
    <t>User Benefit</t>
  </si>
  <si>
    <t>Complete Recommendation (paragraph form)</t>
  </si>
  <si>
    <t>App 1 — Recommendation 2</t>
  </si>
  <si>
    <t>App 2 — Recommendation 1</t>
  </si>
  <si>
    <t>App 2 — Recommendation 2</t>
  </si>
  <si>
    <t>QUALITY ASSESSMENT REPORT — Section-by-Section Outline</t>
  </si>
  <si>
    <t>Use this as your PDF report writing guide  |  Minimum 600 words for Sections 6 &amp; 7 combined</t>
  </si>
  <si>
    <t>Sec</t>
  </si>
  <si>
    <t>Title</t>
  </si>
  <si>
    <t>Required Content</t>
  </si>
  <si>
    <t>Target Length</t>
  </si>
  <si>
    <t>Cover Information</t>
  </si>
  <si>
    <t>App names, version numbers, platform, OS version, evaluator name, student ID, date, pair letter.</t>
  </si>
  <si>
    <t>Half page</t>
  </si>
  <si>
    <t>App Overviews</t>
  </si>
  <si>
    <t>One paragraph per app: primary purpose, target users, main features, app category. Note any relevant similarities or differences.</t>
  </si>
  <si>
    <t>½–1 page</t>
  </si>
  <si>
    <t>Evaluation Methodology</t>
  </si>
  <si>
    <t>Rating scale (1–5 Likert). How each characteristic was tested. Device &amp; OS used. Duration per app. Tools used (timer, settings screenshots, etc.).</t>
  </si>
  <si>
    <t>½ page</t>
  </si>
  <si>
    <t>Completed Checklists</t>
  </si>
  <si>
    <t>Two fully completed checklist tables (one per app) with ratings, weights, and detailed observation notes. ALL 8 characteristics rated.</t>
  </si>
  <si>
    <t>2 pages</t>
  </si>
  <si>
    <t>Quality Profile Chart</t>
  </si>
  <si>
    <t>Your radar chart image generated by Python. Must be clearly labelled with app names and weighted scores in the legend.</t>
  </si>
  <si>
    <t>1 page</t>
  </si>
  <si>
    <t>3–5 paragraphs comparing both apps. Must address: overall score comparison, top 3 quality gaps, at least 1 trade-off, recommendation with justification.</t>
  </si>
  <si>
    <t>1–1.5 pages</t>
  </si>
  <si>
    <t>7</t>
  </si>
  <si>
    <t>Exactly 2 specific, actionable recommendations per app = 4 total. Each must name the specific feature/mechanism &amp; reference the characteristic improved.</t>
  </si>
  <si>
    <t xml:space="preserve">  COMMON MISTAKES TO AVOID</t>
  </si>
  <si>
    <t>Mistake</t>
  </si>
  <si>
    <t>Problem</t>
  </si>
  <si>
    <t>Fix</t>
  </si>
  <si>
    <t>⚠️ Rating Without Evidence</t>
  </si>
  <si>
    <t>'It feels secure' is not evidence.</t>
  </si>
  <si>
    <t>For every rating ask: 'What did I specifically observe?'</t>
  </si>
  <si>
    <t>⚠️ Confusing Characteristics</t>
  </si>
  <si>
    <t>Marking down Reliability when app is slow (that's Performance).</t>
  </si>
  <si>
    <t>Re-read each ISO 25010 definition before rating.</t>
  </si>
  <si>
    <t>⚠️ Inflated Ratings (All 4s &amp; 5s)</t>
  </si>
  <si>
    <t>No real-world app scores perfectly across all 8 characteristics.</t>
  </si>
  <si>
    <t>For every 4 or 5, spend 2 extra minutes looking for deficiencies.</t>
  </si>
  <si>
    <t>⚠️ Ignoring Weights in Analysis</t>
  </si>
  <si>
    <t>Comparing raw counts of 4s/5s instead of weighted scores.</t>
  </si>
  <si>
    <t>Always calculate and compare weighted total scores.</t>
  </si>
  <si>
    <t>⚠️ Inconsistent Testing Conditions</t>
  </si>
  <si>
    <t>App 1 on fast WiFi, App 2 on poor 4G — results meaningless.</t>
  </si>
  <si>
    <t>Both apps: same device, OS, day, network conditions.</t>
  </si>
  <si>
    <t>⚠️ Vague Recommendations</t>
  </si>
  <si>
    <t>'Improve security' gives developers nothing actionable.</t>
  </si>
  <si>
    <t>Every rec. names a specific feature/mechanism + target rating + benefit.</t>
  </si>
  <si>
    <t>⚠️ Brand Bias</t>
  </si>
  <si>
    <t>Rating well-known brand higher due to reputation, not evidence.</t>
  </si>
  <si>
    <t>Cover app name when reviewing ratings — would you change any?</t>
  </si>
  <si>
    <t>GRADED LAB TASK — Evaluation Rubric  |  Total: 15 Marks</t>
  </si>
  <si>
    <t>Individual Assessment  |  CLO-1 (P-2) + CLO-2 (P-3)  |  Submitted via LMS</t>
  </si>
  <si>
    <t xml:space="preserve">  MARKS BREAKDOWN</t>
  </si>
  <si>
    <t>Criterion</t>
  </si>
  <si>
    <t>Marks</t>
  </si>
  <si>
    <t>Excellent (90–100%)</t>
  </si>
  <si>
    <t>Good (75–89%)</t>
  </si>
  <si>
    <t>Satisfactory (60–74%)</t>
  </si>
  <si>
    <t>C1 — Evaluation Completeness</t>
  </si>
  <si>
    <t>20%</t>
  </si>
  <si>
    <t>Both apps, all 8 chars rated (1–5), whole numbers, weighted scores correct.</t>
  </si>
  <si>
    <t>7 of 8 chars rated; minor calc error (&lt;0.1 difference).</t>
  </si>
  <si>
    <t>5–6 chars rated; weighted scores present but with errors.</t>
  </si>
  <si>
    <t>C2 — Evidence Quality</t>
  </si>
  <si>
    <t>Every rating: ≥2 specific observations. Performance: actual timings. Security: specific mechanisms.</t>
  </si>
  <si>
    <t>≥6 ratings per app have specific obs. 1–2 vague. Performance present.</t>
  </si>
  <si>
    <t>Evidence inconsistent. 3–5 adequate. No performance measurements.</t>
  </si>
  <si>
    <t>C3 — Python Script &amp; Radar Chart</t>
  </si>
  <si>
    <t>13%</t>
  </si>
  <si>
    <t>Script runs with student's actual ratings. Chart clearly labelled. PNG in GitHub week2/.</t>
  </si>
  <si>
    <t>Script runs but uses example ratings. Chart present in GitHub.</t>
  </si>
  <si>
    <t>Script needs minor edits. Chart exists. Not in correct week2/ folder.</t>
  </si>
  <si>
    <t>C4 — Comparative Analysis</t>
  </si>
  <si>
    <t>Weighted score comparison; top 3 gaps with practical explanation; ≥1 trade-off; recommendation with use-case.</t>
  </si>
  <si>
    <t>Score comparison + 2 gaps. Trade-offs mentioned. Recommendation present.</t>
  </si>
  <si>
    <t>Score comparison. 1 gap. No trade-offs. Recommendation without justification.</t>
  </si>
  <si>
    <t>C5 — Recommendation Specificity</t>
  </si>
  <si>
    <t>4 recs (2/app). Each: specific mechanism, characteristic, current/target rating, user benefit.</t>
  </si>
  <si>
    <t>3–4 recs. Most specific. 1–2 missing mechanism detail. Target rating not always stated.</t>
  </si>
  <si>
    <t>2–3 recs. Mix of specific and vague. Chars referenced without current/target.</t>
  </si>
  <si>
    <t>C6 — Report Structure</t>
  </si>
  <si>
    <t>7%</t>
  </si>
  <si>
    <t>All 7 sections in correct order. Professional formatting. Radar chart embedded. Cover complete.</t>
  </si>
  <si>
    <t>6 of 7 sections. Minor formatting. Cover mostly complete. Chart present.</t>
  </si>
  <si>
    <t>5 of 7 sections. Sections out of order. Chart may be missing.</t>
  </si>
  <si>
    <t>C7 — GitHub &amp; File Naming</t>
  </si>
  <si>
    <t>Files in week2/. Correct commit message. PDF named correctly. GitHub URL in LMS. On time.</t>
  </si>
  <si>
    <t>Files in correct location. Minor commit msg deviation. On time.</t>
  </si>
  <si>
    <t>Files in GitHub but wrong folder. PDF naming incorrect. On time.</t>
  </si>
  <si>
    <t>TOTAL MARKS</t>
  </si>
  <si>
    <t>/ 15 marks</t>
  </si>
  <si>
    <t xml:space="preserve">  GRADING SCALE</t>
  </si>
  <si>
    <t>Grade</t>
  </si>
  <si>
    <t>Descriptor</t>
  </si>
  <si>
    <t>14–15</t>
  </si>
  <si>
    <t>A (Distinction)</t>
  </si>
  <si>
    <t>Excellent — professional quality evaluation, thorough evidence, insightful analysis, specific recommendations.</t>
  </si>
  <si>
    <t>11–13</t>
  </si>
  <si>
    <t>B (Merit)</t>
  </si>
  <si>
    <t>Good — all components present with adequate quality; minor gaps in evidence depth or analysis.</t>
  </si>
  <si>
    <t>8–10</t>
  </si>
  <si>
    <t>C (Pass)</t>
  </si>
  <si>
    <t>Satisfactory — meets basic requirements; noticeable gaps in evidence or analysis; recommendations may be vague.</t>
  </si>
  <si>
    <t>5–7</t>
  </si>
  <si>
    <t>D (Marginal)</t>
  </si>
  <si>
    <t>Borderline — significant effort but major requirements incomplete; evaluation substantially deficient.</t>
  </si>
  <si>
    <t>0–4</t>
  </si>
  <si>
    <t>F (Fail)</t>
  </si>
  <si>
    <t>Insufficient — critical requirements missing; evaluation not conducted properly or not submitted.</t>
  </si>
  <si>
    <t xml:space="preserve">  INSTRUCTOR MARKING CHECKLIST</t>
  </si>
  <si>
    <t>Yes / No</t>
  </si>
  <si>
    <t>Both apps evaluated with all 8 characteristics rated (1–5, whole numbers)</t>
  </si>
  <si>
    <t>Weighted scores calculated and present for both apps</t>
  </si>
  <si>
    <t>Every rating has at least 1 specific observation (not 'it feels good')</t>
  </si>
  <si>
    <t>Performance ratings include actual measured timings (seconds)</t>
  </si>
  <si>
    <t>Security ratings reference specific mechanisms (2FA, permissions, encryption)</t>
  </si>
  <si>
    <t>quality_analysis.py in week2/ on GitHub with student's actual ratings (not examples)</t>
  </si>
  <si>
    <t>Radar chart PNG in week2/ on GitHub, both apps labelled with scores</t>
  </si>
  <si>
    <t>8</t>
  </si>
  <si>
    <t>Comparative analysis compares weighted scores explicitly with numbers</t>
  </si>
  <si>
    <t>9</t>
  </si>
  <si>
    <t>At least 1 quality trade-off identified and explained in comparative analysis</t>
  </si>
  <si>
    <t>10</t>
  </si>
  <si>
    <t>4 recommendations (2/app) each naming a specific mechanism</t>
  </si>
  <si>
    <t>11</t>
  </si>
  <si>
    <t>All 7 report sections present in submitted PDF</t>
  </si>
  <si>
    <t>12</t>
  </si>
  <si>
    <t>PDF named correctly and submitted to LMS before deadline</t>
  </si>
  <si>
    <t>ISO 25010 Quick Reference Card  |  All 8 Quality Characteristics</t>
  </si>
  <si>
    <t>Sub-Characteristics</t>
  </si>
  <si>
    <t>Key Question</t>
  </si>
  <si>
    <t>Test Approach</t>
  </si>
  <si>
    <t>Functional Suitability</t>
  </si>
  <si>
    <t>Completeness, Correctness, Appropriateness</t>
  </si>
  <si>
    <t>Does it do what users need?</t>
  </si>
  <si>
    <t>Feature checklist — Pass/Fail per advertised function. Test edge cases.</t>
  </si>
  <si>
    <t>Performance Efficiency</t>
  </si>
  <si>
    <t>Time behaviour, Resource utilisation, Capacity</t>
  </si>
  <si>
    <t>Does it do it fast enough?</t>
  </si>
  <si>
    <t>Stopwatch timings; device battery/data settings. Record actual numbers.</t>
  </si>
  <si>
    <t>Compatibility</t>
  </si>
  <si>
    <t>Co-existence, Interoperability</t>
  </si>
  <si>
    <t>Does it work with other systems?</t>
  </si>
  <si>
    <t>App store listing; cross-platform sync test; sharing test with 3+ apps.</t>
  </si>
  <si>
    <t>Usability</t>
  </si>
  <si>
    <t>Learnability, Operability, Aesthetics, Accessibility</t>
  </si>
  <si>
    <t>Is it easy and pleasant to use?</t>
  </si>
  <si>
    <t>5-task usability test — timed, unguided, record errors.</t>
  </si>
  <si>
    <t>Availability, Fault tolerance, Recoverability, Maturity</t>
  </si>
  <si>
    <t>Does it work consistently?</t>
  </si>
  <si>
    <t>10-min session; Airplane Mode test; force-close test; note crashes.</t>
  </si>
  <si>
    <t>Confidentiality, Integrity, Authenticity, Accountability</t>
  </si>
  <si>
    <t>Is data and access protected?</t>
  </si>
  <si>
    <t>HTTPS check; permissions list; 2FA; privacy policy review; lockout test.</t>
  </si>
  <si>
    <t>Maintainability</t>
  </si>
  <si>
    <t>Modularity, Analysability, Modifiability, Testability</t>
  </si>
  <si>
    <t>Can it be changed/fixed easily?</t>
  </si>
  <si>
    <t>Update history; changelog quality; open bug age; response to CVEs.</t>
  </si>
  <si>
    <t>Portability</t>
  </si>
  <si>
    <t>Adaptability, Install ability, Replaceability</t>
  </si>
  <si>
    <t>Can it run in different environments?</t>
  </si>
  <si>
    <t>Platform count; install/uninstall; cross-device sync; dark mode respect.</t>
  </si>
  <si>
    <t xml:space="preserve">  CHARACTERISTIC TRADE-OFFS — Know Before You Rate</t>
  </si>
  <si>
    <t>Trade-off</t>
  </si>
  <si>
    <t>Example</t>
  </si>
  <si>
    <t>Implication</t>
  </si>
  <si>
    <t>Security vs. Usability</t>
  </si>
  <si>
    <t>2FA improves security but adds login friction → lower usability score.</t>
  </si>
  <si>
    <t>Rate each independently. Note the trade-off in comparative analysis.</t>
  </si>
  <si>
    <t>Performance vs. Security</t>
  </si>
  <si>
    <t>Encryption adds CPU overhead → highly secure app may have slower response times.</t>
  </si>
  <si>
    <t>Do not penalize security for slower performance if encryption is the cause.</t>
  </si>
  <si>
    <t>Portability vs. Performance</t>
  </si>
  <si>
    <t>Cross-platform frameworks (React Native, Flutter) may perform worse than native.</t>
  </si>
  <si>
    <t>Document the platform context when rating performance.</t>
  </si>
  <si>
    <t>Reliability vs. Functionality</t>
  </si>
  <si>
    <t>Adding more features increases complexity → can reduce reliability score.</t>
  </si>
  <si>
    <t>A feature-rich app rated lower on reliability is an expected trade-off.</t>
  </si>
  <si>
    <t xml:space="preserve">  RATING SCALE — 1–5 LIKERT</t>
  </si>
  <si>
    <t>Example Justification</t>
  </si>
  <si>
    <t>ABDUR REHMAN</t>
  </si>
  <si>
    <t>FA23-BSE-003</t>
  </si>
  <si>
    <t>21-04-26</t>
  </si>
  <si>
    <t>Campus Wifi</t>
  </si>
  <si>
    <t>26.4.1</t>
  </si>
  <si>
    <t>iPhone 17 Pro Max</t>
  </si>
  <si>
    <t>iOS 26.4.1</t>
  </si>
  <si>
    <t>Tecno Spark 20 Pro</t>
  </si>
  <si>
    <t>Android 13.5.0</t>
  </si>
  <si>
    <t>147.0.7727.101</t>
  </si>
  <si>
    <t>Android</t>
  </si>
  <si>
    <t>iOS</t>
  </si>
  <si>
    <t>15-04-2026</t>
  </si>
  <si>
    <t>13.5.0</t>
  </si>
  <si>
    <t>21-04-2026</t>
  </si>
  <si>
    <t>Pass</t>
  </si>
  <si>
    <t>I opened a website in browser and it opened normally without any issue.</t>
  </si>
  <si>
    <t>I added website to bookmarks and it is added normally.</t>
  </si>
  <si>
    <t>I tried to open a website in incognito mode and it is opened but little bit slow.</t>
  </si>
  <si>
    <t>I tried to open a website which do not support HTTPS, chrome gave me warning for secure connection. Also I turned off internet and then tried to open a website, and chrome handled it properly and displayed that you are not connected to internet.</t>
  </si>
  <si>
    <t>Partial</t>
  </si>
  <si>
    <t>I tried to open 15-20 tabs at a time and chrome loaded all of them slowly and it is lagged. Switching between different tabs make chrome lag for sometime.</t>
  </si>
  <si>
    <t>2 seconds</t>
  </si>
  <si>
    <t>Chrome opened in my mobile in 2 seconds</t>
  </si>
  <si>
    <t>1.3 seconds</t>
  </si>
  <si>
    <t>First website loaded in 1.3 seconds</t>
  </si>
  <si>
    <t>5 seconds</t>
  </si>
  <si>
    <t>Imaged loadded inside website in 2 seconds</t>
  </si>
  <si>
    <t>2.4 seconds</t>
  </si>
  <si>
    <t>Chrome used 1% battery in 10 minutes.</t>
  </si>
  <si>
    <t>10 seconds</t>
  </si>
  <si>
    <t>on 4g network website loaded in 10.25 seconds</t>
  </si>
  <si>
    <t>5mb</t>
  </si>
  <si>
    <t>Chrome website</t>
  </si>
  <si>
    <t>Chrome website says chrome require android 10 or later.</t>
  </si>
  <si>
    <t>Available</t>
  </si>
  <si>
    <t>Checked in all platforms</t>
  </si>
  <si>
    <t>Chrome is available in all platforms</t>
  </si>
  <si>
    <t>Yes</t>
  </si>
  <si>
    <t>Laptop &amp; android checked</t>
  </si>
  <si>
    <t>Web browsed in laptop show in mobile.</t>
  </si>
  <si>
    <t>Can be uploaded in website</t>
  </si>
  <si>
    <t>Content can be uploaded in many websites in chrome</t>
  </si>
  <si>
    <t>Can share downloaded files</t>
  </si>
  <si>
    <t>We can share files from chrome to 3+ apps</t>
  </si>
  <si>
    <t>Dark mode available in chrome</t>
  </si>
  <si>
    <t>No</t>
  </si>
  <si>
    <t>Work Fine</t>
  </si>
  <si>
    <t>No feature is broken</t>
  </si>
  <si>
    <t xml:space="preserve">Pass </t>
  </si>
  <si>
    <t>I tried to open a website in private mode and it opened normally.</t>
  </si>
  <si>
    <t>I tried to open a website which do not support HTTPS, safari gave me warning for secure connection. Also I turned off internet and then tried to open a website, and Safari handled it properly and displayed that you are not connected to internet.</t>
  </si>
  <si>
    <t>Opened multiple tabs, all opened without any lag</t>
  </si>
  <si>
    <t>1.5 seconds</t>
  </si>
  <si>
    <t>Opened in 1.5 seconds</t>
  </si>
  <si>
    <t>4.4 seconds</t>
  </si>
  <si>
    <t>Webpage opened in 4.4 seconds</t>
  </si>
  <si>
    <t>1.9 seconds</t>
  </si>
  <si>
    <t>Image loaded in 1.9 seconds</t>
  </si>
  <si>
    <t>Battery used is 1%.</t>
  </si>
  <si>
    <t>15 seconds</t>
  </si>
  <si>
    <t>On 4g network website opened in 15 seconds</t>
  </si>
  <si>
    <t>20 mb</t>
  </si>
  <si>
    <t>20 mb is used in 10 minutes</t>
  </si>
  <si>
    <t>safari</t>
  </si>
  <si>
    <t>iOS ,macOS</t>
  </si>
  <si>
    <t>apple</t>
  </si>
  <si>
    <t>yes</t>
  </si>
  <si>
    <t>via iCloud</t>
  </si>
  <si>
    <t>Not crashed</t>
  </si>
  <si>
    <t>Chrome responded that no internet connection</t>
  </si>
  <si>
    <t>After reconnection data is synced.</t>
  </si>
  <si>
    <t>Server Not found.</t>
  </si>
  <si>
    <t>Tabs are restored but reload.</t>
  </si>
  <si>
    <t>Locked</t>
  </si>
  <si>
    <t>Weekly</t>
  </si>
  <si>
    <t>Never</t>
  </si>
  <si>
    <t>all</t>
  </si>
  <si>
    <t>no</t>
  </si>
  <si>
    <t xml:space="preserve">no </t>
  </si>
  <si>
    <t>Chrome</t>
  </si>
  <si>
    <t>20 seconds</t>
  </si>
  <si>
    <t>4 seconds</t>
  </si>
  <si>
    <t>0 second</t>
  </si>
  <si>
    <t>3 second</t>
  </si>
  <si>
    <t>nothing</t>
  </si>
  <si>
    <t>monthly</t>
  </si>
  <si>
    <t>iOS, macOS</t>
  </si>
  <si>
    <t>APP1_RATINGS = [4.5,4,5,4.5,4.5,4,4,5]   ← replace with your Column D values above
APP2_RATINGS = [5,5,3.5,4,5,5,3,4]   ← replace with your Column E values above</t>
  </si>
  <si>
    <t>The overall evaluation of Google Chrome and Safari based on ISO 25010 quality attributes shows that both applications achieve high performance, with Safari obtaining a slightly higher total score. Safari scores particularly well in functional suitability, performance efficiency, reliability, and security, each reaching the maximum or near-maximum values. Chrome, while slightly lower in some of these areas, maintains consistently strong scores across all attributes, especially in usability and portability. This indicates that both browsers are high-quality systems, with Safari having a slight edge in overall numerical performance, while Chrome remains highly competitive.</t>
  </si>
  <si>
    <t>The most noticeable differences between the two applications appear in performance efficiency, maintainability, and usability. Safari significantly outperforms Chrome in performance efficiency (5 vs 4), highlighting better optimization and resource handling. Similarly, Safari achieves a perfect score in reliability and security compared to Chrome’s slightly lower values. However, Chrome surpasses Safari in maintainability (4 vs 3), indicating better support for updates, extensibility, and long-term adaptability. Additionally, Chrome leads in usability (5 vs 4), suggesting a more intuitive and user-friendly interface. These gaps highlight that Safari is stronger in system-level performance, while Chrome excels in user interaction and software evolution.</t>
  </si>
  <si>
    <t>The comparison reveals a clear trade-off between optimization and flexibility. Safari prioritizes high performance, security, and reliability, making it highly efficient within controlled environments, particularly where system integration is strong. In contrast, Chrome emphasizes usability, portability, and maintainability, allowing it to perform consistently across multiple platforms and use cases. While Safari achieves higher peak scores, it shows weaker performance in maintainability, which may limit adaptability over time. Chrome, on the other hand, avoids major weaknesses by maintaining balanced scores across all attributes, even if it does not always achieve the highest value in individual categories.</t>
  </si>
  <si>
    <t>Based on the analysis, the choice between the two applications depends on user priorities. Safari is recommended for users who value high performance, strong security, and reliable operation, particularly within optimized environments. However, Chrome is recommended for users who require a more versatile, user-friendly, and maintainable solution that performs consistently across different platforms. From a balanced ISO 25010 perspective, Chrome provides a more uniform quality distribution, while Safari is ideal for performance-focused scenarios. Therefore, for general-purpose use, Chrome is slightly more suitable, whereas Safari is preferable in performance-critical contexts.</t>
  </si>
  <si>
    <t>Observation 1: Primary core function passed — opened a website normally without any issues. All tested features (bookmarks, incognito mode) function correctly.
Observation 2: Error handling is robust — Chrome displays security warnings for non-HTTPS websites and shows "no internet connection" message when offline. Edge case with 15-20 tabs caused lag and slow switching, indicating partial performance under extreme load.</t>
  </si>
  <si>
    <t>Observation 1: Cold start time measured at 2.4 seconds (target &lt;3 seconds). First website loaded in 1.3 seconds. Image loading took 2 seconds.
Observation 2: On slow 4G network, website loaded in 10.25 seconds (exceeds &lt;5 second target). Battery drain was excellent at 1% over 10 minutes. Data usage was 5MB in 10 minutes (under 10MB target).</t>
  </si>
  <si>
    <t>Observation 1: Chrome is available on all platforms (Android, iOS, Windows, macOS, Web, Linux). Cross-device sync works seamlessly — browsing history from laptop appears on mobile.
Observation 2: Supports dark mode that respects OS settings. Content sharing works both directions — can receive shares from other apps and share downloaded files to 3+ apps. No features broken on Android 13.5.0.</t>
  </si>
  <si>
    <t>Observation 1: Usability tasks completed without errors: change core setting (10 sec), primary function first time (2 sec), find help section (5 sec), share content (15 sec), delete item (5 sec).
Observation 2: Error messages are clear and actionable. Visual hierarchy effectively prioritizes important information. Accessibility supports large text and screen readers. No onboarding tutorial for new users.</t>
  </si>
  <si>
    <t>Observation 1: No crashes during 10-minute continuous use. Airplane Mode test showed graceful handling with "no internet connection" message. Reconnect recovery successfully synced data after connectivity restored.
Observation 2: Force-close mid-task partially saves progress — tabs are restored but reload content. Server error messages are meaningful ("Server Not found").</t>
  </si>
  <si>
    <t>Observation 1: Uses HTTPS with padlock indicator. Permissions are justified for app purpose. 2FA/biometric login available in settings (Google account integration).
Observation 2: Privacy policy clearly documents data collection practices. Login lockout activates after 3 incorrect attempts. Missing auto-lock on inactivity — app stays open indefinitely.</t>
  </si>
  <si>
    <t>Observation 1: Updates released weekly on Play Store. Changelog clearly documents bug fixes with specific details.
Observation 2: No widespread long-standing unfixed bugs in app store reviews. Public bug tracker/feedback channel exists for user reporting.</t>
  </si>
  <si>
    <t>Observation 1: Available on all major platforms (Android, iOS, Windows, macOS, Web, Linux). Installation and uninstallation process is clean with no residual files observed.
Observation 2: Cross-device data syncworks automatically when signed into Google account. Respects system accessibility settings including font size and dark mode.</t>
  </si>
  <si>
    <t>Observation 1: Primary core function passed — opened website normally with no issues. Secondary features (bookmarks, private mode) all function correctly without problems.
Observation 2: Error handling is excellent — Safari displays security warnings for non-HTTPS websites and clear "no internet connection" messages. Edge case with multiple tabs opened without lag — handled 15-20 tabs smoothly with no performance degradation.</t>
  </si>
  <si>
    <t>Observation 1: Cold start time very fast at 1.5 seconds (target &lt;3 seconds). Website loading took 4.4 seconds (exceeds &lt;1 second target). Image loading completed in 1.9 seconds.
Observation 2: Battery drain excellent at 1% over 10 minutes. Slow network (4G) performance was weak at 15 seconds for page load (exceeds &lt;5 second target). Data usage higher than Chrome at 20MB in 10 minutes (exceeds 10MB target).</t>
  </si>
  <si>
    <t>Observation 1: Limited platform availability — only iOS and macOS (no Android, Windows, or Linux support). Cross-device sync works via iCloud.
Observation 2: Content sharing works both directions. Dark mode respects OS settings. No features broken on iOS 26.4.1. Platform restriction significantly limits compatibility compared to cross-platform browsers.</t>
  </si>
  <si>
    <t>Observation 1: Tasks completed: change core setting (20 sec), primary function first time (4 sec), share content (3 sec), delete item (2 sec). Help/Support section not found (0 sec, incomplete).
Observation 2: Error messages are clear and helpful. Visual hierarchy is well-designed. No onboarding tutorial. Accessibility does NOT support large text, high contrast, or screen reader — significant deficiency for users with disabilities.</t>
  </si>
  <si>
    <t>Observation 1: No crashes during 10-minute continuous use. Airplane Mode test showed graceful handling with appropriate error messaging. Reconnect recovery successfully restored functionality.
Observation 2: Force-close mid-task preserves progress — tabs restored and content reloads. Server error messages are meaningful. Overall reliability is excellent with no observed failures.</t>
  </si>
  <si>
    <t>Observation 1: Uses HTTPS with padlock indicator. Permissions are justified for app purpose. Privacy policy clearly documents data collection practices (Apple's privacy-focused approach).
Observation 2: Auto-lock on inactivity NOT available. Login lockout does NOT activate after 3 incorrect attempts (no account lockout mechanism observed). 2FA/biometric NOT available for browser itself (relies on iCloud Keychain separately).</t>
  </si>
  <si>
    <t>Observation 1: Updates released monthly — slower frequency than competitors (Chrome weekly). Changelog quality is good with documented bug fixes.
Observation 2: No public bug tracker or feedback channel for users to report issues directly. CVE response history not clearly documented for this specific app. Lower maintainability due to closed ecosystem and opaque development process.</t>
  </si>
  <si>
    <t xml:space="preserve">	Observation 1: Platform support limited to iOS and macOS only — not available on Android, Windows, or Linux. Installation/uninstallation process is clean.
Observation 2: Cross-device data sync works via iCloud across Apple devices. Respects system accessibility settings (font size, dark mode). Lower portability score due to Apple ecosystem lock-in.</t>
  </si>
  <si>
    <t>Implement aggressive tab freezing and memory compression for background tabs</t>
  </si>
  <si>
    <t>Opening 15-20 tabs simultaneously caused significant lag, slow switching between tabs, and general interface stuttering. The browser struggles to maintain smooth performance under multi-tab workload.</t>
  </si>
  <si>
    <t>Users could keep 20+ tabs open without experiencing lag, enabling seamless multitasking between research, shopping, and social media tabs without performance degradation.</t>
  </si>
  <si>
    <t>Chrome Mobile should implement aggressive tab freezing and memory compression for background tabs in order to improve Performance Efficiency from its current rating of 4 to a target of 5. Currently, opening 15-20 tabs simultaneously causes significant lag, slow switching between tabs, and general interface stuttering, as documented during edge case testing. This change would benefit users by allowing them to keep 20+ tabs open without experiencing lag, enabling seamless multitasking between research, shopping, and social media tabs without performance degradation.</t>
  </si>
  <si>
    <t>Add an auto-lock timeout feature that locks the browser after user-specified period of inactivity (30 seconds to 5 minutes)</t>
  </si>
  <si>
    <t>Chrome stays open indefinitely with no auto-lock mechanism. If a user walks away from their device while logged into sensitive accounts (banking, email, social media), anyone can access all open tabs and saved passwords.</t>
  </si>
  <si>
    <t>Users would have peace of mind knowing their browsing session automatically locks after inactivity, protecting sensitive personal data, saved passwords, and logged-in accounts from unauthorized access on shared or lost devices.</t>
  </si>
  <si>
    <t>Chrome Mobile should add an auto-lock timeout feature that locks the browser after a user-specified period of inactivity (30 seconds to 5 minutes) in order to improve Security from its current rating of 4 to a target of 5. Currently, Chrome stays open indefinitely with no auto-lock mechanism — if a user walks away from their device while logged into sensitive accounts (banking, email, social media), anyone can access all open tabs and saved passwords. This change would benefit users by providing peace of mind knowing their browsing session automatically locks after inactivity, protecting sensitive personal data, saved passwords, and logged-in accounts from unauthorized access on shared or lost devices.</t>
  </si>
  <si>
    <t>Expand platform availability by releasing a Windows desktop version and an Android mobile version</t>
  </si>
  <si>
    <t>Safari is exclusively available only on iOS and macOS platforms. Users on Windows PCs, Android phones, or Linux computers cannot access Safari, forcing them to switch browsers when moving between Apple and non-Apple devices.</t>
  </si>
  <si>
    <t>Users could maintain a consistent browsing experience with synchronized bookmarks, history, and passwords across ALL their devices regardless of platform, eliminating the friction of switching between different browsers on Windows or Android.</t>
  </si>
  <si>
    <t>Safari should expand platform availability by releasing a Windows desktop version and an Android mobile version in order to improve Compatibility from its current rating of 3.5 to a target of 5. Currently, Safari is exclusively available only on iOS and macOS platforms — users on Windows PCs, Android phones, or Linux computers cannot access Safari, forcing them to switch browsers when moving between Apple and non-Apple devices. This change would benefit users by allowing them to maintain a consistent browsing experience with synchronized bookmarks, history, and passwords across ALL their devices regardless of platform, eliminating the friction of switching between different browsers on Windows or Android.</t>
  </si>
  <si>
    <t>Introduce a public bug tracker or feedback portal where users can report issues, vote on existing bugs, and track resolution status</t>
  </si>
  <si>
    <t>Safari has no public bug tracker or transparent feedback channel. Users cannot see which bugs Apple has acknowledged, view workarounds, or track when fixes will arrive. The development process is entirely opaque to end users.</t>
  </si>
  <si>
    <t>Users could report bugs directly, see if issues are already known, receive updates on fix progress, and access workarounds from the community, leading to faster bug resolution and a more transparent development relationship with Apple.</t>
  </si>
  <si>
    <t>Safari should introduce a public bug tracker or feedback portal where users can report issues, vote on existing bugs, and track resolution status in order to improve Maintainability from its current rating of 3 to a target of 5. Currently, Safari has no public bug tracker or transparent feedback channel — users cannot see which bugs Apple has acknowledged, view workarounds, or track when fixes will arrive, as the development process is entirely opaque to end users. This change would benefit users by allowing them to report bugs directly, see if issues are already known, receive updates on fix progress, and access workarounds from the community, leading to faster bug resolution and a more transparent development relationship with Apple.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</si>
</sst>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charset val="1"/>
    </font>
    <font>
      <b/>
      <sz val="14"/>
      <color rgb="FFFFFFFF"/>
      <name val="Arial"/>
      <charset val="1"/>
    </font>
    <font>
      <b/>
      <sz val="10"/>
      <color rgb="FFFFFFFF"/>
      <name val="Arial"/>
      <charset val="1"/>
    </font>
    <font>
      <b/>
      <sz val="9"/>
      <color rgb="FF1F3864"/>
      <name val="Arial"/>
      <charset val="1"/>
    </font>
    <font>
      <b/>
      <sz val="9"/>
      <color rgb="FF444444"/>
      <name val="Arial"/>
      <charset val="1"/>
    </font>
    <font>
      <sz val="10"/>
      <color rgb="FF000000"/>
      <name val="Arial"/>
      <charset val="1"/>
    </font>
    <font>
      <b/>
      <sz val="9"/>
      <color rgb="FF000000"/>
      <name val="Arial"/>
      <charset val="1"/>
    </font>
    <font>
      <sz val="9"/>
      <color rgb="FF000000"/>
      <name val="Arial"/>
      <charset val="1"/>
    </font>
    <font>
      <b/>
      <sz val="13"/>
      <color rgb="FFFFFFFF"/>
      <name val="Arial"/>
      <charset val="1"/>
    </font>
    <font>
      <b/>
      <sz val="9"/>
      <color rgb="FFFFFFFF"/>
      <name val="Arial"/>
      <charset val="1"/>
    </font>
    <font>
      <b/>
      <sz val="10"/>
      <color rgb="FF1F3864"/>
      <name val="Arial"/>
      <charset val="1"/>
    </font>
    <font>
      <b/>
      <sz val="14"/>
      <color rgb="FF1F3864"/>
      <name val="Arial"/>
      <charset val="1"/>
    </font>
    <font>
      <b/>
      <sz val="10"/>
      <color rgb="FF000000"/>
      <name val="Arial"/>
      <charset val="1"/>
    </font>
    <font>
      <b/>
      <sz val="13"/>
      <color rgb="FF1F3864"/>
      <name val="Arial"/>
      <charset val="1"/>
    </font>
    <font>
      <i/>
      <sz val="8"/>
      <color rgb="FF888888"/>
      <name val="Arial"/>
      <charset val="1"/>
    </font>
    <font>
      <b/>
      <sz val="10"/>
      <color rgb="FF1A6B5A"/>
      <name val="Arial"/>
      <charset val="1"/>
    </font>
    <font>
      <b/>
      <sz val="11"/>
      <color rgb="FFFFFFFF"/>
      <name val="Arial"/>
      <charset val="1"/>
    </font>
    <font>
      <i/>
      <sz val="8"/>
      <color rgb="FFA32D2D"/>
      <name val="Arial"/>
      <charset val="1"/>
    </font>
    <font>
      <b/>
      <sz val="11"/>
      <color rgb="FF000000"/>
      <name val="Arial"/>
      <charset val="1"/>
    </font>
    <font>
      <b/>
      <sz val="12"/>
      <color rgb="FF1F3864"/>
      <name val="Arial"/>
      <charset val="1"/>
    </font>
    <font>
      <b/>
      <sz val="10"/>
      <color rgb="FFA32D2D"/>
      <name val="Arial"/>
      <charset val="1"/>
    </font>
    <font>
      <b/>
      <sz val="11"/>
      <color rgb="FF1F3864"/>
      <name val="Arial"/>
      <charset val="1"/>
    </font>
    <font>
      <sz val="9"/>
      <color rgb="FF2E75B6"/>
      <name val="Arial"/>
      <charset val="1"/>
    </font>
    <font>
      <sz val="9"/>
      <color rgb="FF1A6B5A"/>
      <name val="Arial"/>
      <charset val="1"/>
    </font>
    <font>
      <sz val="9"/>
      <color rgb="FF1F3864"/>
      <name val="Courier New"/>
      <charset val="1"/>
    </font>
    <font>
      <b/>
      <sz val="9"/>
      <color rgb="FF1A6B5A"/>
      <name val="Arial"/>
      <charset val="1"/>
    </font>
    <font>
      <i/>
      <sz val="9"/>
      <color rgb="FF888888"/>
      <name val="Arial"/>
      <charset val="1"/>
    </font>
    <font>
      <sz val="8"/>
      <color rgb="FF000000"/>
      <name val="Arial"/>
      <charset val="1"/>
    </font>
    <font>
      <b/>
      <sz val="9"/>
      <color rgb="FFA32D2D"/>
      <name val="Arial"/>
      <charset val="1"/>
    </font>
    <font>
      <b/>
      <sz val="12"/>
      <color rgb="FFFFFFFF"/>
      <name val="Arial"/>
      <charset val="1"/>
    </font>
    <font>
      <i/>
      <sz val="8"/>
      <color rgb="FF000000"/>
      <name val="Arial"/>
      <charset val="1"/>
    </font>
    <font>
      <u/>
      <sz val="11"/>
      <color theme="10"/>
      <name val="Calibri"/>
      <family val="2"/>
      <charset val="1"/>
    </font>
    <font>
      <b/>
      <sz val="10"/>
      <color rgb="FF000000"/>
      <name val="Arial"/>
      <family val="2"/>
    </font>
    <font>
      <sz val="9"/>
      <color rgb="FF000000"/>
      <name val="Arial"/>
      <family val="2"/>
    </font>
    <font>
      <sz val="10"/>
      <color rgb="FF000000"/>
      <name val="Arial"/>
      <family val="2"/>
    </font>
  </fonts>
  <fills count="14">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F2F2F2"/>
        <bgColor rgb="FFE2EFDA"/>
      </patternFill>
    </fill>
    <fill>
      <patternFill patternType="solid">
        <fgColor rgb="FFFFF2CC"/>
        <bgColor rgb="FFF2F2F2"/>
      </patternFill>
    </fill>
    <fill>
      <patternFill patternType="solid">
        <fgColor rgb="FFD6E4F0"/>
        <bgColor rgb="FFD6EDE8"/>
      </patternFill>
    </fill>
    <fill>
      <patternFill patternType="solid">
        <fgColor rgb="FFD6EDE8"/>
        <bgColor rgb="FFD6E4F0"/>
      </patternFill>
    </fill>
    <fill>
      <patternFill patternType="solid">
        <fgColor rgb="FFE2EFDA"/>
        <bgColor rgb="FFD6EDE8"/>
      </patternFill>
    </fill>
    <fill>
      <patternFill patternType="solid">
        <fgColor rgb="FFFFE0E0"/>
        <bgColor rgb="FFFFF2CC"/>
      </patternFill>
    </fill>
    <fill>
      <patternFill patternType="solid">
        <fgColor rgb="FFCCCCCC"/>
        <bgColor rgb="FFD6E4F0"/>
      </patternFill>
    </fill>
    <fill>
      <patternFill patternType="solid">
        <fgColor rgb="FF1A6B5A"/>
        <bgColor rgb="FF008080"/>
      </patternFill>
    </fill>
    <fill>
      <patternFill patternType="solid">
        <fgColor rgb="FFFFFFFF"/>
        <bgColor rgb="FFF2F2F2"/>
      </patternFill>
    </fill>
    <fill>
      <patternFill patternType="solid">
        <fgColor rgb="FFFFD966"/>
        <bgColor rgb="FFFFCC00"/>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1" fillId="0" borderId="0" applyNumberFormat="0" applyFill="0" applyBorder="0" applyAlignment="0" applyProtection="0"/>
  </cellStyleXfs>
  <cellXfs count="145">
    <xf numFmtId="0" fontId="0" fillId="0" borderId="0" xfId="0"/>
    <xf numFmtId="0" fontId="2" fillId="3" borderId="1" xfId="0" applyFont="1" applyFill="1" applyBorder="1" applyAlignment="1">
      <alignment horizontal="center" vertical="center" wrapText="1"/>
    </xf>
    <xf numFmtId="0" fontId="4" fillId="4" borderId="1" xfId="0" applyFont="1" applyFill="1" applyBorder="1" applyAlignment="1">
      <alignment horizontal="left" vertical="center"/>
    </xf>
    <xf numFmtId="0" fontId="5" fillId="5" borderId="1" xfId="0" applyFont="1" applyFill="1" applyBorder="1" applyAlignment="1">
      <alignment horizontal="left" vertical="center" wrapText="1"/>
    </xf>
    <xf numFmtId="0" fontId="0" fillId="0" borderId="1" xfId="0" applyBorder="1"/>
    <xf numFmtId="0" fontId="6" fillId="6" borderId="1" xfId="0" applyFont="1" applyFill="1" applyBorder="1" applyAlignment="1">
      <alignment horizontal="left" vertical="center"/>
    </xf>
    <xf numFmtId="0" fontId="7" fillId="6" borderId="1" xfId="0" applyFont="1" applyFill="1" applyBorder="1" applyAlignment="1">
      <alignment horizontal="left" vertical="center"/>
    </xf>
    <xf numFmtId="0" fontId="6" fillId="7" borderId="1" xfId="0" applyFont="1" applyFill="1" applyBorder="1" applyAlignment="1">
      <alignment horizontal="left" vertical="center"/>
    </xf>
    <xf numFmtId="0" fontId="7" fillId="7" borderId="1" xfId="0" applyFont="1" applyFill="1" applyBorder="1" applyAlignment="1">
      <alignment horizontal="left" vertical="center"/>
    </xf>
    <xf numFmtId="0" fontId="6" fillId="5" borderId="1" xfId="0" applyFont="1" applyFill="1" applyBorder="1" applyAlignment="1">
      <alignment horizontal="left" vertical="center"/>
    </xf>
    <xf numFmtId="0" fontId="7" fillId="5" borderId="1" xfId="0" applyFont="1" applyFill="1" applyBorder="1" applyAlignment="1">
      <alignment horizontal="left" vertical="center"/>
    </xf>
    <xf numFmtId="0" fontId="6" fillId="8" borderId="1" xfId="0" applyFont="1" applyFill="1" applyBorder="1" applyAlignment="1">
      <alignment horizontal="left" vertical="center"/>
    </xf>
    <xf numFmtId="0" fontId="7" fillId="8" borderId="1" xfId="0" applyFont="1" applyFill="1" applyBorder="1" applyAlignment="1">
      <alignment horizontal="left" vertical="center"/>
    </xf>
    <xf numFmtId="0" fontId="6" fillId="9" borderId="1" xfId="0" applyFont="1" applyFill="1" applyBorder="1" applyAlignment="1">
      <alignment horizontal="left" vertical="center"/>
    </xf>
    <xf numFmtId="0" fontId="7" fillId="9" borderId="1" xfId="0" applyFont="1" applyFill="1" applyBorder="1" applyAlignment="1">
      <alignment horizontal="left" vertical="center"/>
    </xf>
    <xf numFmtId="0" fontId="6" fillId="10" borderId="1" xfId="0" applyFont="1" applyFill="1" applyBorder="1" applyAlignment="1">
      <alignment horizontal="left" vertical="center"/>
    </xf>
    <xf numFmtId="0" fontId="7" fillId="10" borderId="1" xfId="0" applyFont="1" applyFill="1" applyBorder="1" applyAlignment="1">
      <alignment horizontal="left" vertical="center"/>
    </xf>
    <xf numFmtId="0" fontId="2" fillId="11"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0" fillId="5" borderId="1" xfId="0" applyFill="1" applyBorder="1" applyAlignment="1">
      <alignment horizontal="left" vertical="center" wrapText="1"/>
    </xf>
    <xf numFmtId="0" fontId="6" fillId="12" borderId="1" xfId="0" applyFont="1" applyFill="1" applyBorder="1" applyAlignment="1">
      <alignment horizontal="left" vertical="center" wrapText="1"/>
    </xf>
    <xf numFmtId="0" fontId="11" fillId="5" borderId="1" xfId="0" applyFont="1" applyFill="1" applyBorder="1" applyAlignment="1">
      <alignment horizontal="center" vertical="center"/>
    </xf>
    <xf numFmtId="0" fontId="5" fillId="12" borderId="0" xfId="0" applyFont="1" applyFill="1"/>
    <xf numFmtId="0" fontId="2" fillId="3" borderId="2"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12" fillId="12"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3" fillId="5" borderId="1" xfId="0" applyFont="1" applyFill="1" applyBorder="1" applyAlignment="1">
      <alignment horizontal="center" vertical="center"/>
    </xf>
    <xf numFmtId="0" fontId="7" fillId="4" borderId="1" xfId="0" applyFont="1" applyFill="1" applyBorder="1" applyAlignment="1">
      <alignment horizontal="center" vertical="center"/>
    </xf>
    <xf numFmtId="0" fontId="14" fillId="5" borderId="1" xfId="0" applyFont="1" applyFill="1" applyBorder="1" applyAlignment="1">
      <alignment horizontal="left" vertical="top" wrapText="1"/>
    </xf>
    <xf numFmtId="2" fontId="15" fillId="4" borderId="1" xfId="0" applyNumberFormat="1" applyFont="1" applyFill="1" applyBorder="1" applyAlignment="1">
      <alignment horizontal="center" vertical="center"/>
    </xf>
    <xf numFmtId="0" fontId="3" fillId="12" borderId="1" xfId="0" applyFont="1" applyFill="1" applyBorder="1" applyAlignment="1">
      <alignment horizontal="left" vertical="center" wrapText="1"/>
    </xf>
    <xf numFmtId="0" fontId="7" fillId="12" borderId="1" xfId="0" applyFont="1" applyFill="1" applyBorder="1" applyAlignment="1">
      <alignment horizontal="center" vertical="center"/>
    </xf>
    <xf numFmtId="2" fontId="15" fillId="12" borderId="1" xfId="0" applyNumberFormat="1" applyFont="1" applyFill="1" applyBorder="1" applyAlignment="1">
      <alignment horizontal="center" vertical="center"/>
    </xf>
    <xf numFmtId="2" fontId="8" fillId="2"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0" fillId="5" borderId="1" xfId="0" applyFill="1" applyBorder="1" applyAlignment="1">
      <alignment horizontal="center" vertical="center"/>
    </xf>
    <xf numFmtId="0" fontId="17" fillId="9"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18" fillId="5" borderId="1" xfId="0" applyFont="1" applyFill="1" applyBorder="1" applyAlignment="1">
      <alignment horizontal="center" vertical="center"/>
    </xf>
    <xf numFmtId="0" fontId="19" fillId="5" borderId="1" xfId="0" applyFont="1" applyFill="1" applyBorder="1" applyAlignment="1">
      <alignment horizontal="center" vertical="center"/>
    </xf>
    <xf numFmtId="1" fontId="20" fillId="4" borderId="1" xfId="0" applyNumberFormat="1" applyFont="1" applyFill="1" applyBorder="1" applyAlignment="1">
      <alignment horizontal="center" vertical="center"/>
    </xf>
    <xf numFmtId="1" fontId="20" fillId="12" borderId="1" xfId="0" applyNumberFormat="1" applyFont="1" applyFill="1" applyBorder="1" applyAlignment="1">
      <alignment horizontal="center" vertical="center"/>
    </xf>
    <xf numFmtId="2" fontId="16"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9" fontId="7" fillId="4"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2" fontId="22" fillId="4" borderId="1" xfId="0" applyNumberFormat="1" applyFont="1" applyFill="1" applyBorder="1" applyAlignment="1">
      <alignment horizontal="center" vertical="center"/>
    </xf>
    <xf numFmtId="2" fontId="23" fillId="4" borderId="1" xfId="0" applyNumberFormat="1" applyFont="1" applyFill="1" applyBorder="1" applyAlignment="1">
      <alignment horizontal="center" vertical="center"/>
    </xf>
    <xf numFmtId="9" fontId="7" fillId="12" borderId="1" xfId="0" applyNumberFormat="1" applyFont="1" applyFill="1" applyBorder="1" applyAlignment="1">
      <alignment horizontal="center" vertical="center"/>
    </xf>
    <xf numFmtId="2" fontId="22" fillId="12" borderId="1" xfId="0" applyNumberFormat="1" applyFont="1" applyFill="1" applyBorder="1" applyAlignment="1">
      <alignment horizontal="center" vertical="center"/>
    </xf>
    <xf numFmtId="2" fontId="23" fillId="12" borderId="1" xfId="0" applyNumberFormat="1" applyFont="1" applyFill="1" applyBorder="1" applyAlignment="1">
      <alignment horizontal="center" vertical="center"/>
    </xf>
    <xf numFmtId="0" fontId="25" fillId="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27" fillId="9" borderId="1" xfId="0" applyFont="1" applyFill="1" applyBorder="1" applyAlignment="1">
      <alignment horizontal="left" vertical="center" wrapText="1"/>
    </xf>
    <xf numFmtId="0" fontId="27" fillId="8" borderId="1" xfId="0" applyFont="1" applyFill="1" applyBorder="1" applyAlignment="1">
      <alignment horizontal="left" vertical="center" wrapText="1"/>
    </xf>
    <xf numFmtId="0" fontId="28" fillId="9"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9" borderId="1" xfId="0" applyFont="1" applyFill="1" applyBorder="1" applyAlignment="1">
      <alignment horizontal="center" vertical="center"/>
    </xf>
    <xf numFmtId="0" fontId="19" fillId="6" borderId="1" xfId="0" applyFont="1" applyFill="1" applyBorder="1" applyAlignment="1">
      <alignment horizontal="center" vertical="center"/>
    </xf>
    <xf numFmtId="0" fontId="12" fillId="6" borderId="1" xfId="0" applyFont="1" applyFill="1" applyBorder="1" applyAlignment="1">
      <alignment horizontal="left" vertical="center" wrapText="1"/>
    </xf>
    <xf numFmtId="0" fontId="30" fillId="6" borderId="1" xfId="0" applyFont="1" applyFill="1" applyBorder="1" applyAlignment="1">
      <alignment horizontal="left" vertical="center" wrapText="1"/>
    </xf>
    <xf numFmtId="0" fontId="21" fillId="6" borderId="1" xfId="0" applyFont="1" applyFill="1" applyBorder="1" applyAlignment="1">
      <alignment horizontal="center" vertical="center"/>
    </xf>
    <xf numFmtId="0" fontId="19" fillId="12" borderId="1" xfId="0" applyFont="1" applyFill="1" applyBorder="1" applyAlignment="1">
      <alignment horizontal="center" vertical="center"/>
    </xf>
    <xf numFmtId="0" fontId="12" fillId="12" borderId="1" xfId="0" applyFont="1" applyFill="1" applyBorder="1" applyAlignment="1">
      <alignment horizontal="left" vertical="center" wrapText="1"/>
    </xf>
    <xf numFmtId="0" fontId="30" fillId="12" borderId="1" xfId="0" applyFont="1" applyFill="1" applyBorder="1" applyAlignment="1">
      <alignment horizontal="left" vertical="center" wrapText="1"/>
    </xf>
    <xf numFmtId="0" fontId="21" fillId="12" borderId="1" xfId="0" applyFont="1" applyFill="1" applyBorder="1" applyAlignment="1">
      <alignment horizontal="center" vertical="center"/>
    </xf>
    <xf numFmtId="0" fontId="19" fillId="7"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30" fillId="7" borderId="1" xfId="0" applyFont="1" applyFill="1" applyBorder="1" applyAlignment="1">
      <alignment horizontal="left" vertical="center" wrapText="1"/>
    </xf>
    <xf numFmtId="0" fontId="21" fillId="7" borderId="1" xfId="0" applyFont="1" applyFill="1" applyBorder="1" applyAlignment="1">
      <alignment horizontal="center" vertical="center"/>
    </xf>
    <xf numFmtId="0" fontId="12" fillId="5"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21" fillId="5" borderId="1" xfId="0" applyFont="1" applyFill="1" applyBorder="1" applyAlignment="1">
      <alignment horizontal="center" vertical="center"/>
    </xf>
    <xf numFmtId="0" fontId="19" fillId="4" borderId="1" xfId="0" applyFont="1" applyFill="1" applyBorder="1" applyAlignment="1">
      <alignment horizontal="center" vertical="center"/>
    </xf>
    <xf numFmtId="0" fontId="12" fillId="4"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19" fillId="8" borderId="1" xfId="0" applyFont="1" applyFill="1" applyBorder="1" applyAlignment="1">
      <alignment horizontal="center" vertical="center"/>
    </xf>
    <xf numFmtId="0" fontId="12" fillId="8" borderId="1" xfId="0" applyFont="1" applyFill="1" applyBorder="1" applyAlignment="1">
      <alignment horizontal="left" vertical="center" wrapText="1"/>
    </xf>
    <xf numFmtId="0" fontId="30" fillId="8" borderId="1" xfId="0" applyFont="1" applyFill="1" applyBorder="1" applyAlignment="1">
      <alignment horizontal="left" vertical="center" wrapText="1"/>
    </xf>
    <xf numFmtId="0" fontId="21"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6" borderId="1" xfId="0" applyFont="1" applyFill="1" applyBorder="1" applyAlignment="1">
      <alignment horizontal="center" vertical="center"/>
    </xf>
    <xf numFmtId="0" fontId="13" fillId="13" borderId="1" xfId="0" applyFont="1" applyFill="1" applyBorder="1" applyAlignment="1">
      <alignment horizontal="center" vertical="center"/>
    </xf>
    <xf numFmtId="0" fontId="13" fillId="9" borderId="1" xfId="0" applyFont="1" applyFill="1" applyBorder="1" applyAlignment="1">
      <alignment horizontal="center" vertical="center"/>
    </xf>
    <xf numFmtId="0" fontId="31" fillId="5" borderId="1" xfId="1" applyFill="1" applyBorder="1" applyAlignment="1">
      <alignment horizontal="left" vertical="center" wrapText="1"/>
    </xf>
    <xf numFmtId="9" fontId="7" fillId="5" borderId="1" xfId="0" applyNumberFormat="1" applyFont="1" applyFill="1" applyBorder="1" applyAlignment="1">
      <alignment horizontal="left" vertical="center" wrapText="1"/>
    </xf>
    <xf numFmtId="0" fontId="32" fillId="6" borderId="2" xfId="0" applyFont="1" applyFill="1" applyBorder="1" applyAlignment="1">
      <alignment horizontal="left" vertical="center" wrapText="1"/>
    </xf>
    <xf numFmtId="0" fontId="33" fillId="5" borderId="1" xfId="0" applyFont="1" applyFill="1" applyBorder="1" applyAlignment="1">
      <alignment horizontal="left" vertical="center" wrapText="1"/>
    </xf>
    <xf numFmtId="0" fontId="34" fillId="5" borderId="1" xfId="0" applyFont="1" applyFill="1" applyBorder="1" applyAlignment="1">
      <alignment horizontal="left" vertical="center" wrapText="1"/>
    </xf>
    <xf numFmtId="0" fontId="3" fillId="4"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18" fontId="5" fillId="5" borderId="1" xfId="0" applyNumberFormat="1"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34" fillId="5" borderId="1" xfId="0" applyFont="1" applyFill="1" applyBorder="1" applyAlignment="1">
      <alignment horizontal="left" vertical="center" wrapText="1"/>
    </xf>
    <xf numFmtId="0" fontId="16" fillId="2" borderId="1" xfId="0" applyFont="1" applyFill="1" applyBorder="1" applyAlignment="1">
      <alignment horizontal="center" vertical="center"/>
    </xf>
    <xf numFmtId="0" fontId="7" fillId="12"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26" fillId="5" borderId="1" xfId="0" applyFont="1" applyFill="1" applyBorder="1" applyAlignment="1">
      <alignment horizontal="left" vertical="top" wrapText="1"/>
    </xf>
    <xf numFmtId="0" fontId="3" fillId="5"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29" fillId="2"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30" fillId="12"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5A"/>
      <rgbColor rgb="FFCCCCCC"/>
      <rgbColor rgb="FF888888"/>
      <rgbColor rgb="FF9999FF"/>
      <rgbColor rgb="FF993366"/>
      <rgbColor rgb="FFFFF2CC"/>
      <rgbColor rgb="FFD6EDE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E2EFDA"/>
      <rgbColor rgb="FFFFE0E0"/>
      <rgbColor rgb="FF99CCFF"/>
      <rgbColor rgb="FFFF99CC"/>
      <rgbColor rgb="FFCC99FF"/>
      <rgbColor rgb="FFFFD966"/>
      <rgbColor rgb="FF2E75B6"/>
      <rgbColor rgb="FF33CCCC"/>
      <rgbColor rgb="FF99CC00"/>
      <rgbColor rgb="FFFFCC00"/>
      <rgbColor rgb="FFFF9900"/>
      <rgbColor rgb="FFFF6600"/>
      <rgbColor rgb="FF666699"/>
      <rgbColor rgb="FF969696"/>
      <rgbColor rgb="FF1F3864"/>
      <rgbColor rgb="FF339966"/>
      <rgbColor rgb="FF003300"/>
      <rgbColor rgb="FF333300"/>
      <rgbColor rgb="FFA32D2D"/>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1"/>
  <sheetViews>
    <sheetView showGridLines="0" topLeftCell="A16" zoomScaleNormal="100" workbookViewId="0">
      <selection activeCell="C30" sqref="C30"/>
    </sheetView>
  </sheetViews>
  <sheetFormatPr defaultColWidth="8.6328125" defaultRowHeight="14.5" x14ac:dyDescent="0.35"/>
  <cols>
    <col min="1" max="1" width="3" customWidth="1"/>
    <col min="2" max="2" width="26" customWidth="1"/>
    <col min="3" max="3" width="28" customWidth="1"/>
    <col min="4" max="4" width="26" customWidth="1"/>
    <col min="5" max="5" width="28" customWidth="1"/>
    <col min="6" max="6" width="5" customWidth="1"/>
  </cols>
  <sheetData>
    <row r="1" spans="2:5" ht="36" customHeight="1" x14ac:dyDescent="0.35">
      <c r="B1" s="113" t="s">
        <v>0</v>
      </c>
      <c r="C1" s="113"/>
      <c r="D1" s="113"/>
      <c r="E1" s="113"/>
    </row>
    <row r="2" spans="2:5" ht="19.5" customHeight="1" x14ac:dyDescent="0.35">
      <c r="B2" s="114" t="s">
        <v>1</v>
      </c>
      <c r="C2" s="114"/>
      <c r="D2" s="114"/>
      <c r="E2" s="114"/>
    </row>
    <row r="3" spans="2:5" ht="7.5" customHeight="1" x14ac:dyDescent="0.35"/>
    <row r="4" spans="2:5" ht="15.75" customHeight="1" x14ac:dyDescent="0.35">
      <c r="B4" s="112" t="s">
        <v>2</v>
      </c>
      <c r="C4" s="112"/>
      <c r="D4" s="112"/>
      <c r="E4" s="112"/>
    </row>
    <row r="5" spans="2:5" ht="18" customHeight="1" x14ac:dyDescent="0.35">
      <c r="B5" s="2" t="s">
        <v>3</v>
      </c>
      <c r="C5" s="3" t="s">
        <v>548</v>
      </c>
      <c r="D5" s="4"/>
      <c r="E5" s="4"/>
    </row>
    <row r="6" spans="2:5" ht="18" customHeight="1" x14ac:dyDescent="0.35">
      <c r="B6" s="2" t="s">
        <v>4</v>
      </c>
      <c r="C6" s="3" t="s">
        <v>549</v>
      </c>
      <c r="D6" s="4"/>
      <c r="E6" s="4"/>
    </row>
    <row r="7" spans="2:5" ht="18" customHeight="1" x14ac:dyDescent="0.35">
      <c r="B7" s="2" t="s">
        <v>5</v>
      </c>
      <c r="C7" s="3" t="s">
        <v>16</v>
      </c>
      <c r="D7" s="4"/>
      <c r="E7" s="4"/>
    </row>
    <row r="8" spans="2:5" ht="18" customHeight="1" x14ac:dyDescent="0.35">
      <c r="B8" s="2" t="s">
        <v>6</v>
      </c>
      <c r="C8" s="3" t="s">
        <v>550</v>
      </c>
      <c r="D8" s="4"/>
      <c r="E8" s="4"/>
    </row>
    <row r="9" spans="2:5" ht="18" customHeight="1" x14ac:dyDescent="0.35">
      <c r="B9" s="2" t="s">
        <v>7</v>
      </c>
      <c r="C9" s="3" t="s">
        <v>553</v>
      </c>
      <c r="D9" s="4" t="s">
        <v>555</v>
      </c>
      <c r="E9" s="4"/>
    </row>
    <row r="10" spans="2:5" ht="18" customHeight="1" x14ac:dyDescent="0.35">
      <c r="B10" s="2" t="s">
        <v>8</v>
      </c>
      <c r="C10" s="3" t="s">
        <v>554</v>
      </c>
      <c r="D10" s="4" t="s">
        <v>556</v>
      </c>
      <c r="E10" s="4"/>
    </row>
    <row r="11" spans="2:5" ht="18" customHeight="1" x14ac:dyDescent="0.35">
      <c r="B11" s="2" t="s">
        <v>9</v>
      </c>
      <c r="C11" s="3" t="s">
        <v>551</v>
      </c>
      <c r="D11" s="4"/>
      <c r="E11" s="4"/>
    </row>
    <row r="12" spans="2:5" ht="7.5" customHeight="1" x14ac:dyDescent="0.35"/>
    <row r="13" spans="2:5" ht="15.75" customHeight="1" x14ac:dyDescent="0.35">
      <c r="B13" s="112" t="s">
        <v>10</v>
      </c>
      <c r="C13" s="112"/>
      <c r="D13" s="112"/>
      <c r="E13" s="112"/>
    </row>
    <row r="14" spans="2:5" ht="15.75" customHeight="1" x14ac:dyDescent="0.35">
      <c r="B14" s="115" t="s">
        <v>11</v>
      </c>
      <c r="C14" s="115"/>
      <c r="D14" s="115"/>
      <c r="E14" s="115"/>
    </row>
    <row r="15" spans="2:5" ht="18" customHeight="1" x14ac:dyDescent="0.35">
      <c r="B15" s="1" t="s">
        <v>12</v>
      </c>
      <c r="C15" s="1" t="s">
        <v>13</v>
      </c>
      <c r="D15" s="1" t="s">
        <v>14</v>
      </c>
      <c r="E15" s="1" t="s">
        <v>15</v>
      </c>
    </row>
    <row r="16" spans="2:5" ht="16.5" customHeight="1" x14ac:dyDescent="0.35">
      <c r="B16" s="5" t="s">
        <v>16</v>
      </c>
      <c r="C16" s="6" t="s">
        <v>17</v>
      </c>
      <c r="D16" s="6" t="s">
        <v>18</v>
      </c>
      <c r="E16" s="6" t="s">
        <v>19</v>
      </c>
    </row>
    <row r="17" spans="2:5" ht="16.5" customHeight="1" x14ac:dyDescent="0.35">
      <c r="B17" s="7" t="s">
        <v>20</v>
      </c>
      <c r="C17" s="8" t="s">
        <v>21</v>
      </c>
      <c r="D17" s="8" t="s">
        <v>22</v>
      </c>
      <c r="E17" s="8" t="s">
        <v>23</v>
      </c>
    </row>
    <row r="18" spans="2:5" ht="16.5" customHeight="1" x14ac:dyDescent="0.35">
      <c r="B18" s="9" t="s">
        <v>24</v>
      </c>
      <c r="C18" s="10" t="s">
        <v>25</v>
      </c>
      <c r="D18" s="10" t="s">
        <v>26</v>
      </c>
      <c r="E18" s="10" t="s">
        <v>27</v>
      </c>
    </row>
    <row r="19" spans="2:5" ht="16.5" customHeight="1" x14ac:dyDescent="0.35">
      <c r="B19" s="11" t="s">
        <v>28</v>
      </c>
      <c r="C19" s="12" t="s">
        <v>29</v>
      </c>
      <c r="D19" s="12" t="s">
        <v>30</v>
      </c>
      <c r="E19" s="12" t="s">
        <v>31</v>
      </c>
    </row>
    <row r="20" spans="2:5" ht="16.5" customHeight="1" x14ac:dyDescent="0.35">
      <c r="B20" s="13" t="s">
        <v>32</v>
      </c>
      <c r="C20" s="14" t="s">
        <v>33</v>
      </c>
      <c r="D20" s="14" t="s">
        <v>34</v>
      </c>
      <c r="E20" s="14" t="s">
        <v>35</v>
      </c>
    </row>
    <row r="21" spans="2:5" ht="16.5" customHeight="1" x14ac:dyDescent="0.35">
      <c r="B21" s="15" t="s">
        <v>36</v>
      </c>
      <c r="C21" s="16" t="s">
        <v>37</v>
      </c>
      <c r="D21" s="16" t="s">
        <v>38</v>
      </c>
      <c r="E21" s="16" t="s">
        <v>39</v>
      </c>
    </row>
    <row r="22" spans="2:5" ht="7.5" customHeight="1" x14ac:dyDescent="0.35"/>
    <row r="23" spans="2:5" ht="15.75" customHeight="1" x14ac:dyDescent="0.35">
      <c r="B23" s="112" t="s">
        <v>40</v>
      </c>
      <c r="C23" s="112"/>
      <c r="D23" s="112"/>
      <c r="E23" s="112"/>
    </row>
    <row r="24" spans="2:5" ht="15.75" customHeight="1" x14ac:dyDescent="0.35">
      <c r="B24" s="2" t="s">
        <v>41</v>
      </c>
      <c r="C24" s="2" t="s">
        <v>42</v>
      </c>
      <c r="D24" s="2" t="s">
        <v>43</v>
      </c>
      <c r="E24" s="2"/>
    </row>
    <row r="25" spans="2:5" ht="19.5" customHeight="1" x14ac:dyDescent="0.35">
      <c r="B25" s="3" t="s">
        <v>32</v>
      </c>
      <c r="C25" s="3" t="s">
        <v>29</v>
      </c>
      <c r="D25" s="3" t="s">
        <v>30</v>
      </c>
      <c r="E25" s="3"/>
    </row>
    <row r="26" spans="2:5" ht="7.5" customHeight="1" x14ac:dyDescent="0.35"/>
    <row r="27" spans="2:5" ht="15.75" customHeight="1" x14ac:dyDescent="0.35">
      <c r="B27" s="112" t="s">
        <v>44</v>
      </c>
      <c r="C27" s="112"/>
      <c r="D27" s="112"/>
      <c r="E27" s="112"/>
    </row>
    <row r="28" spans="2:5" ht="15.75" customHeight="1" x14ac:dyDescent="0.35">
      <c r="B28" s="17" t="s">
        <v>45</v>
      </c>
      <c r="C28" s="17" t="s">
        <v>13</v>
      </c>
      <c r="D28" s="17" t="s">
        <v>45</v>
      </c>
      <c r="E28" s="17" t="s">
        <v>14</v>
      </c>
    </row>
    <row r="29" spans="2:5" ht="18" customHeight="1" x14ac:dyDescent="0.35">
      <c r="B29" s="2" t="s">
        <v>46</v>
      </c>
      <c r="C29" s="3" t="s">
        <v>29</v>
      </c>
      <c r="D29" s="2" t="s">
        <v>46</v>
      </c>
      <c r="E29" s="3" t="s">
        <v>30</v>
      </c>
    </row>
    <row r="30" spans="2:5" ht="18" customHeight="1" x14ac:dyDescent="0.35">
      <c r="B30" s="2" t="s">
        <v>47</v>
      </c>
      <c r="C30" s="111" t="s">
        <v>557</v>
      </c>
      <c r="D30" s="2" t="s">
        <v>47</v>
      </c>
      <c r="E30" s="3">
        <v>26</v>
      </c>
    </row>
    <row r="31" spans="2:5" ht="18" customHeight="1" x14ac:dyDescent="0.35">
      <c r="B31" s="2" t="s">
        <v>48</v>
      </c>
      <c r="C31" s="3" t="s">
        <v>558</v>
      </c>
      <c r="D31" s="2" t="s">
        <v>48</v>
      </c>
      <c r="E31" s="3" t="s">
        <v>559</v>
      </c>
    </row>
    <row r="32" spans="2:5" ht="18" customHeight="1" x14ac:dyDescent="0.35">
      <c r="B32" s="2" t="s">
        <v>49</v>
      </c>
      <c r="C32" s="3">
        <v>10</v>
      </c>
      <c r="D32" s="2" t="s">
        <v>49</v>
      </c>
      <c r="E32" s="3">
        <v>10</v>
      </c>
    </row>
    <row r="33" spans="2:5" ht="18" customHeight="1" x14ac:dyDescent="0.35">
      <c r="B33" s="2" t="s">
        <v>50</v>
      </c>
      <c r="C33" s="3">
        <v>4.4000000000000004</v>
      </c>
      <c r="D33" s="2" t="s">
        <v>50</v>
      </c>
      <c r="E33" s="3">
        <v>4.2</v>
      </c>
    </row>
    <row r="34" spans="2:5" ht="18" customHeight="1" x14ac:dyDescent="0.35">
      <c r="B34" s="2" t="s">
        <v>51</v>
      </c>
      <c r="C34" s="3" t="s">
        <v>560</v>
      </c>
      <c r="D34" s="2" t="s">
        <v>51</v>
      </c>
      <c r="E34" s="3"/>
    </row>
    <row r="35" spans="2:5" ht="7.5" customHeight="1" x14ac:dyDescent="0.35"/>
    <row r="36" spans="2:5" ht="15.75" customHeight="1" x14ac:dyDescent="0.35">
      <c r="B36" s="112" t="s">
        <v>52</v>
      </c>
      <c r="C36" s="112"/>
      <c r="D36" s="112"/>
      <c r="E36" s="112"/>
    </row>
    <row r="37" spans="2:5" ht="15.75" customHeight="1" x14ac:dyDescent="0.35">
      <c r="B37" s="18" t="s">
        <v>53</v>
      </c>
      <c r="C37" s="18" t="s">
        <v>54</v>
      </c>
      <c r="D37" s="18" t="s">
        <v>55</v>
      </c>
      <c r="E37" s="18" t="s">
        <v>56</v>
      </c>
    </row>
    <row r="38" spans="2:5" ht="18" customHeight="1" x14ac:dyDescent="0.35">
      <c r="B38" s="19" t="s">
        <v>57</v>
      </c>
      <c r="C38" s="19" t="s">
        <v>58</v>
      </c>
      <c r="D38" s="19" t="s">
        <v>59</v>
      </c>
      <c r="E38" s="20"/>
    </row>
    <row r="39" spans="2:5" ht="18" customHeight="1" x14ac:dyDescent="0.35">
      <c r="B39" s="19" t="s">
        <v>60</v>
      </c>
      <c r="C39" s="19" t="s">
        <v>61</v>
      </c>
      <c r="D39" s="19" t="s">
        <v>59</v>
      </c>
      <c r="E39" s="20"/>
    </row>
    <row r="40" spans="2:5" ht="18" customHeight="1" x14ac:dyDescent="0.35">
      <c r="B40" s="19" t="s">
        <v>62</v>
      </c>
      <c r="C40" s="19" t="s">
        <v>63</v>
      </c>
      <c r="D40" s="19" t="s">
        <v>59</v>
      </c>
      <c r="E40" s="20"/>
    </row>
    <row r="41" spans="2:5" ht="18" customHeight="1" x14ac:dyDescent="0.35">
      <c r="B41" s="19" t="s">
        <v>64</v>
      </c>
      <c r="C41" s="19" t="s">
        <v>65</v>
      </c>
      <c r="D41" s="19" t="s">
        <v>66</v>
      </c>
      <c r="E41" s="20"/>
    </row>
    <row r="42" spans="2:5" ht="18" customHeight="1" x14ac:dyDescent="0.35">
      <c r="B42" s="19" t="s">
        <v>67</v>
      </c>
      <c r="C42" s="19" t="s">
        <v>68</v>
      </c>
      <c r="D42" s="19" t="s">
        <v>66</v>
      </c>
      <c r="E42" s="20"/>
    </row>
    <row r="43" spans="2:5" ht="18" customHeight="1" x14ac:dyDescent="0.35">
      <c r="B43" s="19" t="s">
        <v>69</v>
      </c>
      <c r="C43" s="19" t="s">
        <v>70</v>
      </c>
      <c r="D43" s="19" t="s">
        <v>66</v>
      </c>
      <c r="E43" s="20"/>
    </row>
    <row r="44" spans="2:5" ht="7.5" customHeight="1" x14ac:dyDescent="0.35"/>
    <row r="45" spans="2:5" ht="15.75" customHeight="1" x14ac:dyDescent="0.35">
      <c r="B45" s="112" t="s">
        <v>71</v>
      </c>
      <c r="C45" s="112"/>
      <c r="D45" s="112"/>
      <c r="E45" s="112"/>
    </row>
    <row r="46" spans="2:5" ht="15.75" customHeight="1" x14ac:dyDescent="0.35">
      <c r="B46" s="18" t="s">
        <v>72</v>
      </c>
      <c r="C46" s="18" t="s">
        <v>73</v>
      </c>
      <c r="D46" s="18" t="s">
        <v>74</v>
      </c>
      <c r="E46" s="18" t="s">
        <v>75</v>
      </c>
    </row>
    <row r="47" spans="2:5" ht="21.75" customHeight="1" x14ac:dyDescent="0.35">
      <c r="B47" s="21">
        <v>5</v>
      </c>
      <c r="C47" s="21" t="s">
        <v>76</v>
      </c>
      <c r="D47" s="20" t="s">
        <v>77</v>
      </c>
      <c r="E47" s="20" t="s">
        <v>78</v>
      </c>
    </row>
    <row r="48" spans="2:5" ht="21.75" customHeight="1" x14ac:dyDescent="0.35">
      <c r="B48" s="22">
        <v>4</v>
      </c>
      <c r="C48" s="22" t="s">
        <v>79</v>
      </c>
      <c r="D48" s="23" t="s">
        <v>80</v>
      </c>
      <c r="E48" s="23" t="s">
        <v>81</v>
      </c>
    </row>
    <row r="49" spans="2:5" ht="21.75" customHeight="1" x14ac:dyDescent="0.35">
      <c r="B49" s="24">
        <v>3</v>
      </c>
      <c r="C49" s="24" t="s">
        <v>82</v>
      </c>
      <c r="D49" s="25" t="s">
        <v>83</v>
      </c>
      <c r="E49" s="25" t="s">
        <v>84</v>
      </c>
    </row>
    <row r="50" spans="2:5" ht="21.75" customHeight="1" x14ac:dyDescent="0.35">
      <c r="B50" s="26">
        <v>2</v>
      </c>
      <c r="C50" s="26" t="s">
        <v>85</v>
      </c>
      <c r="D50" s="27" t="s">
        <v>86</v>
      </c>
      <c r="E50" s="27" t="s">
        <v>87</v>
      </c>
    </row>
    <row r="51" spans="2:5" ht="21.75" customHeight="1" x14ac:dyDescent="0.35">
      <c r="B51" s="28">
        <v>1</v>
      </c>
      <c r="C51" s="28" t="s">
        <v>88</v>
      </c>
      <c r="D51" s="29" t="s">
        <v>89</v>
      </c>
      <c r="E51" s="29" t="s">
        <v>90</v>
      </c>
    </row>
  </sheetData>
  <mergeCells count="9">
    <mergeCell ref="B23:E23"/>
    <mergeCell ref="B27:E27"/>
    <mergeCell ref="B36:E36"/>
    <mergeCell ref="B45:E45"/>
    <mergeCell ref="B1:E1"/>
    <mergeCell ref="B2:E2"/>
    <mergeCell ref="B4:E4"/>
    <mergeCell ref="B13:E13"/>
    <mergeCell ref="B14:E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91"/>
  <sheetViews>
    <sheetView showGridLines="0" topLeftCell="A57" zoomScaleNormal="100" workbookViewId="0">
      <selection activeCell="C7" sqref="C7:F7"/>
    </sheetView>
  </sheetViews>
  <sheetFormatPr defaultColWidth="8.6328125" defaultRowHeight="14.5" x14ac:dyDescent="0.35"/>
  <cols>
    <col min="1" max="1" width="3" customWidth="1"/>
    <col min="2" max="3" width="22" customWidth="1"/>
    <col min="4" max="5" width="10" customWidth="1"/>
    <col min="6" max="6" width="22" customWidth="1"/>
    <col min="7" max="7" width="5" customWidth="1"/>
  </cols>
  <sheetData>
    <row r="1" spans="2:6" ht="31.5" customHeight="1" x14ac:dyDescent="0.35">
      <c r="B1" s="116" t="s">
        <v>91</v>
      </c>
      <c r="C1" s="116"/>
      <c r="D1" s="116"/>
      <c r="E1" s="116"/>
      <c r="F1" s="116"/>
    </row>
    <row r="2" spans="2:6" ht="18" customHeight="1" x14ac:dyDescent="0.35">
      <c r="B2" s="117" t="s">
        <v>92</v>
      </c>
      <c r="C2" s="117"/>
      <c r="D2" s="117"/>
      <c r="E2" s="117"/>
      <c r="F2" s="117"/>
    </row>
    <row r="3" spans="2:6" ht="7.5" customHeight="1" x14ac:dyDescent="0.35"/>
    <row r="4" spans="2:6" ht="15.75" customHeight="1" x14ac:dyDescent="0.35">
      <c r="B4" s="112" t="s">
        <v>93</v>
      </c>
      <c r="C4" s="112"/>
      <c r="D4" s="112"/>
      <c r="E4" s="112"/>
      <c r="F4" s="112"/>
    </row>
    <row r="5" spans="2:6" ht="18" customHeight="1" x14ac:dyDescent="0.35">
      <c r="B5" s="2" t="s">
        <v>42</v>
      </c>
      <c r="C5" s="118" t="str">
        <f>'📋 Session Setup'!C29</f>
        <v>Chrome Mobile</v>
      </c>
      <c r="D5" s="118"/>
      <c r="E5" s="118"/>
      <c r="F5" s="118"/>
    </row>
    <row r="6" spans="2:6" ht="18" customHeight="1" x14ac:dyDescent="0.35">
      <c r="B6" s="2" t="s">
        <v>47</v>
      </c>
      <c r="C6" s="118" t="str">
        <f>'📋 Session Setup'!C30</f>
        <v>147.0.7727.101</v>
      </c>
      <c r="D6" s="118"/>
      <c r="E6" s="118"/>
      <c r="F6" s="118"/>
    </row>
    <row r="7" spans="2:6" ht="18" customHeight="1" x14ac:dyDescent="0.35">
      <c r="B7" s="2" t="s">
        <v>7</v>
      </c>
      <c r="C7" s="118" t="str">
        <f>'📋 Session Setup'!C9</f>
        <v>iPhone 17 Pro Max</v>
      </c>
      <c r="D7" s="118"/>
      <c r="E7" s="118"/>
      <c r="F7" s="118"/>
    </row>
    <row r="8" spans="2:6" ht="18" customHeight="1" x14ac:dyDescent="0.35">
      <c r="B8" s="2" t="s">
        <v>8</v>
      </c>
      <c r="C8" s="118" t="s">
        <v>561</v>
      </c>
      <c r="D8" s="118"/>
      <c r="E8" s="118"/>
      <c r="F8" s="118"/>
    </row>
    <row r="9" spans="2:6" ht="18" customHeight="1" x14ac:dyDescent="0.35">
      <c r="B9" s="2" t="s">
        <v>94</v>
      </c>
      <c r="C9" s="118" t="s">
        <v>562</v>
      </c>
      <c r="D9" s="118"/>
      <c r="E9" s="118"/>
      <c r="F9" s="118"/>
    </row>
    <row r="10" spans="2:6" ht="18" customHeight="1" x14ac:dyDescent="0.35">
      <c r="B10" s="2" t="s">
        <v>95</v>
      </c>
      <c r="C10" s="119">
        <v>0.60277777777777775</v>
      </c>
      <c r="D10" s="118"/>
      <c r="E10" s="118"/>
      <c r="F10" s="118"/>
    </row>
    <row r="11" spans="2:6" ht="9.75" customHeight="1" x14ac:dyDescent="0.35"/>
    <row r="12" spans="2:6" ht="15.75" customHeight="1" x14ac:dyDescent="0.35">
      <c r="B12" s="112" t="s">
        <v>96</v>
      </c>
      <c r="C12" s="112"/>
      <c r="D12" s="112"/>
      <c r="E12" s="112"/>
      <c r="F12" s="112"/>
    </row>
    <row r="13" spans="2:6" ht="19.5" customHeight="1" x14ac:dyDescent="0.35">
      <c r="B13" s="1" t="s">
        <v>97</v>
      </c>
      <c r="C13" s="1" t="s">
        <v>98</v>
      </c>
      <c r="D13" s="1" t="s">
        <v>99</v>
      </c>
      <c r="E13" s="1" t="s">
        <v>100</v>
      </c>
      <c r="F13" s="1" t="s">
        <v>101</v>
      </c>
    </row>
    <row r="14" spans="2:6" ht="27.75" customHeight="1" x14ac:dyDescent="0.35">
      <c r="B14" s="30" t="s">
        <v>102</v>
      </c>
      <c r="C14" s="31" t="s">
        <v>103</v>
      </c>
      <c r="D14" s="32" t="s">
        <v>563</v>
      </c>
      <c r="E14" s="32" t="s">
        <v>564</v>
      </c>
      <c r="F14" s="107"/>
    </row>
    <row r="15" spans="2:6" ht="27.75" customHeight="1" x14ac:dyDescent="0.35">
      <c r="B15" s="33" t="s">
        <v>104</v>
      </c>
      <c r="C15" s="19" t="s">
        <v>105</v>
      </c>
      <c r="D15" s="32" t="s">
        <v>563</v>
      </c>
      <c r="E15" s="32" t="s">
        <v>565</v>
      </c>
      <c r="F15" s="32"/>
    </row>
    <row r="16" spans="2:6" ht="27.75" customHeight="1" x14ac:dyDescent="0.35">
      <c r="B16" s="30" t="s">
        <v>106</v>
      </c>
      <c r="C16" s="31" t="s">
        <v>107</v>
      </c>
      <c r="D16" s="32" t="s">
        <v>563</v>
      </c>
      <c r="E16" s="32" t="s">
        <v>566</v>
      </c>
      <c r="F16" s="32"/>
    </row>
    <row r="17" spans="2:6" ht="27.75" customHeight="1" x14ac:dyDescent="0.35">
      <c r="B17" s="33" t="s">
        <v>108</v>
      </c>
      <c r="C17" s="19" t="s">
        <v>109</v>
      </c>
      <c r="D17" s="32" t="s">
        <v>563</v>
      </c>
      <c r="E17" s="32" t="s">
        <v>567</v>
      </c>
      <c r="F17" s="32"/>
    </row>
    <row r="18" spans="2:6" ht="27.75" customHeight="1" x14ac:dyDescent="0.35">
      <c r="B18" s="30" t="s">
        <v>110</v>
      </c>
      <c r="C18" s="31" t="s">
        <v>111</v>
      </c>
      <c r="D18" s="32" t="s">
        <v>568</v>
      </c>
      <c r="E18" s="32" t="s">
        <v>569</v>
      </c>
      <c r="F18" s="32"/>
    </row>
    <row r="19" spans="2:6" ht="24" customHeight="1" x14ac:dyDescent="0.35">
      <c r="B19" s="120" t="s">
        <v>112</v>
      </c>
      <c r="C19" s="120"/>
      <c r="D19" s="120"/>
      <c r="E19" s="34">
        <v>4.5</v>
      </c>
      <c r="F19" s="32" t="s">
        <v>113</v>
      </c>
    </row>
    <row r="20" spans="2:6" ht="9.75" customHeight="1" x14ac:dyDescent="0.35"/>
    <row r="21" spans="2:6" ht="15.75" customHeight="1" x14ac:dyDescent="0.35">
      <c r="B21" s="112" t="s">
        <v>114</v>
      </c>
      <c r="C21" s="112"/>
      <c r="D21" s="112"/>
      <c r="E21" s="112"/>
      <c r="F21" s="112"/>
    </row>
    <row r="22" spans="2:6" ht="19.5" customHeight="1" x14ac:dyDescent="0.35">
      <c r="B22" s="1" t="s">
        <v>115</v>
      </c>
      <c r="C22" s="1" t="s">
        <v>116</v>
      </c>
      <c r="D22" s="1" t="s">
        <v>117</v>
      </c>
      <c r="E22" s="1" t="s">
        <v>118</v>
      </c>
      <c r="F22" s="1" t="s">
        <v>100</v>
      </c>
    </row>
    <row r="23" spans="2:6" ht="24" customHeight="1" x14ac:dyDescent="0.35">
      <c r="B23" s="30" t="s">
        <v>119</v>
      </c>
      <c r="C23" s="31" t="s">
        <v>120</v>
      </c>
      <c r="D23" s="25" t="s">
        <v>576</v>
      </c>
      <c r="E23" s="31" t="s">
        <v>121</v>
      </c>
      <c r="F23" s="25" t="s">
        <v>571</v>
      </c>
    </row>
    <row r="24" spans="2:6" ht="24" customHeight="1" x14ac:dyDescent="0.35">
      <c r="B24" s="33" t="s">
        <v>122</v>
      </c>
      <c r="C24" s="19" t="s">
        <v>123</v>
      </c>
      <c r="D24" s="25" t="s">
        <v>572</v>
      </c>
      <c r="E24" s="19" t="s">
        <v>124</v>
      </c>
      <c r="F24" s="25" t="s">
        <v>573</v>
      </c>
    </row>
    <row r="25" spans="2:6" ht="24" customHeight="1" x14ac:dyDescent="0.35">
      <c r="B25" s="30" t="s">
        <v>125</v>
      </c>
      <c r="C25" s="31" t="s">
        <v>126</v>
      </c>
      <c r="D25" s="25" t="s">
        <v>570</v>
      </c>
      <c r="E25" s="31" t="s">
        <v>127</v>
      </c>
      <c r="F25" s="25" t="s">
        <v>575</v>
      </c>
    </row>
    <row r="26" spans="2:6" ht="24" customHeight="1" x14ac:dyDescent="0.35">
      <c r="B26" s="33" t="s">
        <v>128</v>
      </c>
      <c r="C26" s="19" t="s">
        <v>129</v>
      </c>
      <c r="D26" s="108">
        <v>0.01</v>
      </c>
      <c r="E26" s="19" t="s">
        <v>130</v>
      </c>
      <c r="F26" s="25" t="s">
        <v>577</v>
      </c>
    </row>
    <row r="27" spans="2:6" ht="24" customHeight="1" x14ac:dyDescent="0.35">
      <c r="B27" s="30" t="s">
        <v>131</v>
      </c>
      <c r="C27" s="31" t="s">
        <v>132</v>
      </c>
      <c r="D27" s="25" t="s">
        <v>578</v>
      </c>
      <c r="E27" s="31" t="s">
        <v>133</v>
      </c>
      <c r="F27" s="25" t="s">
        <v>579</v>
      </c>
    </row>
    <row r="28" spans="2:6" ht="24" customHeight="1" x14ac:dyDescent="0.35">
      <c r="B28" s="33" t="s">
        <v>134</v>
      </c>
      <c r="C28" s="19" t="s">
        <v>135</v>
      </c>
      <c r="D28" s="25" t="s">
        <v>580</v>
      </c>
      <c r="E28" s="19" t="s">
        <v>136</v>
      </c>
      <c r="F28" s="25"/>
    </row>
    <row r="29" spans="2:6" ht="24" customHeight="1" x14ac:dyDescent="0.35">
      <c r="B29" s="120" t="s">
        <v>137</v>
      </c>
      <c r="C29" s="120"/>
      <c r="D29" s="120"/>
      <c r="E29" s="34">
        <v>4</v>
      </c>
      <c r="F29" s="32" t="s">
        <v>113</v>
      </c>
    </row>
    <row r="30" spans="2:6" ht="9.75" customHeight="1" x14ac:dyDescent="0.35"/>
    <row r="31" spans="2:6" ht="15.75" customHeight="1" x14ac:dyDescent="0.35">
      <c r="B31" s="112" t="s">
        <v>138</v>
      </c>
      <c r="C31" s="112"/>
      <c r="D31" s="112"/>
      <c r="E31" s="112"/>
      <c r="F31" s="112"/>
    </row>
    <row r="32" spans="2:6" ht="19.5" customHeight="1" x14ac:dyDescent="0.35">
      <c r="B32" s="1" t="s">
        <v>139</v>
      </c>
      <c r="C32" s="1" t="s">
        <v>140</v>
      </c>
      <c r="D32" s="1" t="s">
        <v>141</v>
      </c>
      <c r="E32" s="1" t="s">
        <v>142</v>
      </c>
      <c r="F32" s="1" t="s">
        <v>100</v>
      </c>
    </row>
    <row r="33" spans="2:6" ht="24" customHeight="1" x14ac:dyDescent="0.35">
      <c r="B33" s="30" t="s">
        <v>143</v>
      </c>
      <c r="C33" s="31" t="s">
        <v>144</v>
      </c>
      <c r="D33" s="25">
        <v>10</v>
      </c>
      <c r="E33" s="25" t="s">
        <v>581</v>
      </c>
      <c r="F33" s="25" t="s">
        <v>582</v>
      </c>
    </row>
    <row r="34" spans="2:6" ht="24" customHeight="1" x14ac:dyDescent="0.35">
      <c r="B34" s="33" t="s">
        <v>145</v>
      </c>
      <c r="C34" s="19" t="s">
        <v>146</v>
      </c>
      <c r="D34" s="25" t="s">
        <v>583</v>
      </c>
      <c r="E34" s="25" t="s">
        <v>584</v>
      </c>
      <c r="F34" s="25" t="s">
        <v>585</v>
      </c>
    </row>
    <row r="35" spans="2:6" ht="24" customHeight="1" x14ac:dyDescent="0.35">
      <c r="B35" s="30" t="s">
        <v>147</v>
      </c>
      <c r="C35" s="31" t="s">
        <v>148</v>
      </c>
      <c r="D35" s="25" t="s">
        <v>586</v>
      </c>
      <c r="E35" s="25" t="s">
        <v>587</v>
      </c>
      <c r="F35" s="25" t="s">
        <v>588</v>
      </c>
    </row>
    <row r="36" spans="2:6" ht="24" customHeight="1" x14ac:dyDescent="0.35">
      <c r="B36" s="33" t="s">
        <v>149</v>
      </c>
      <c r="C36" s="19" t="s">
        <v>150</v>
      </c>
      <c r="D36" s="25" t="s">
        <v>586</v>
      </c>
      <c r="E36" s="25" t="s">
        <v>589</v>
      </c>
      <c r="F36" s="25" t="s">
        <v>590</v>
      </c>
    </row>
    <row r="37" spans="2:6" ht="24" customHeight="1" x14ac:dyDescent="0.35">
      <c r="B37" s="30" t="s">
        <v>151</v>
      </c>
      <c r="C37" s="31" t="s">
        <v>152</v>
      </c>
      <c r="D37" s="25" t="s">
        <v>586</v>
      </c>
      <c r="E37" s="25" t="s">
        <v>591</v>
      </c>
      <c r="F37" s="25" t="s">
        <v>592</v>
      </c>
    </row>
    <row r="38" spans="2:6" ht="24" customHeight="1" x14ac:dyDescent="0.35">
      <c r="B38" s="33" t="s">
        <v>153</v>
      </c>
      <c r="C38" s="19" t="s">
        <v>154</v>
      </c>
      <c r="D38" s="25" t="s">
        <v>586</v>
      </c>
      <c r="E38" s="25" t="s">
        <v>583</v>
      </c>
      <c r="F38" s="25" t="s">
        <v>593</v>
      </c>
    </row>
    <row r="39" spans="2:6" ht="24" customHeight="1" x14ac:dyDescent="0.35">
      <c r="B39" s="30" t="s">
        <v>155</v>
      </c>
      <c r="C39" s="31" t="s">
        <v>156</v>
      </c>
      <c r="D39" s="25" t="s">
        <v>594</v>
      </c>
      <c r="E39" s="25" t="s">
        <v>595</v>
      </c>
      <c r="F39" s="25" t="s">
        <v>596</v>
      </c>
    </row>
    <row r="40" spans="2:6" ht="24" customHeight="1" x14ac:dyDescent="0.35">
      <c r="B40" s="120" t="s">
        <v>157</v>
      </c>
      <c r="C40" s="120"/>
      <c r="D40" s="120"/>
      <c r="E40" s="34">
        <v>5</v>
      </c>
      <c r="F40" s="32" t="s">
        <v>113</v>
      </c>
    </row>
    <row r="41" spans="2:6" ht="9.75" customHeight="1" x14ac:dyDescent="0.35"/>
    <row r="42" spans="2:6" ht="15.75" customHeight="1" x14ac:dyDescent="0.35">
      <c r="B42" s="112" t="s">
        <v>158</v>
      </c>
      <c r="C42" s="112"/>
      <c r="D42" s="112"/>
      <c r="E42" s="112"/>
      <c r="F42" s="112"/>
    </row>
    <row r="43" spans="2:6" ht="19.5" customHeight="1" x14ac:dyDescent="0.35">
      <c r="B43" s="1" t="s">
        <v>54</v>
      </c>
      <c r="C43" s="1" t="s">
        <v>159</v>
      </c>
      <c r="D43" s="1" t="s">
        <v>160</v>
      </c>
      <c r="E43" s="1" t="s">
        <v>161</v>
      </c>
      <c r="F43" s="1" t="s">
        <v>162</v>
      </c>
    </row>
    <row r="44" spans="2:6" ht="24" customHeight="1" x14ac:dyDescent="0.35">
      <c r="B44" s="30" t="s">
        <v>163</v>
      </c>
      <c r="C44" s="31" t="s">
        <v>164</v>
      </c>
      <c r="D44" s="110" t="s">
        <v>578</v>
      </c>
      <c r="E44" s="110" t="s">
        <v>626</v>
      </c>
      <c r="F44" s="110" t="s">
        <v>615</v>
      </c>
    </row>
    <row r="45" spans="2:6" ht="24" customHeight="1" x14ac:dyDescent="0.35">
      <c r="B45" s="33" t="s">
        <v>165</v>
      </c>
      <c r="C45" s="19" t="s">
        <v>166</v>
      </c>
      <c r="D45" s="110" t="s">
        <v>570</v>
      </c>
      <c r="E45" s="110" t="s">
        <v>626</v>
      </c>
      <c r="F45" s="110" t="s">
        <v>615</v>
      </c>
    </row>
    <row r="46" spans="2:6" ht="24" customHeight="1" x14ac:dyDescent="0.35">
      <c r="B46" s="30" t="s">
        <v>167</v>
      </c>
      <c r="C46" s="31" t="s">
        <v>168</v>
      </c>
      <c r="D46" s="110" t="s">
        <v>574</v>
      </c>
      <c r="E46" s="110" t="s">
        <v>626</v>
      </c>
      <c r="F46" s="110" t="s">
        <v>615</v>
      </c>
    </row>
    <row r="47" spans="2:6" ht="24" customHeight="1" x14ac:dyDescent="0.35">
      <c r="B47" s="33" t="s">
        <v>169</v>
      </c>
      <c r="C47" s="19" t="s">
        <v>170</v>
      </c>
      <c r="D47" s="110" t="s">
        <v>608</v>
      </c>
      <c r="E47" s="110" t="s">
        <v>626</v>
      </c>
      <c r="F47" s="110" t="s">
        <v>615</v>
      </c>
    </row>
    <row r="48" spans="2:6" ht="24" customHeight="1" x14ac:dyDescent="0.35">
      <c r="B48" s="30" t="s">
        <v>171</v>
      </c>
      <c r="C48" s="31" t="s">
        <v>172</v>
      </c>
      <c r="D48" s="110" t="s">
        <v>574</v>
      </c>
      <c r="E48" s="110" t="s">
        <v>627</v>
      </c>
      <c r="F48" s="110" t="s">
        <v>615</v>
      </c>
    </row>
    <row r="49" spans="2:6" ht="15.75" customHeight="1" x14ac:dyDescent="0.35">
      <c r="B49" s="112" t="s">
        <v>173</v>
      </c>
      <c r="C49" s="112"/>
      <c r="D49" s="112"/>
      <c r="E49" s="112"/>
      <c r="F49" s="112"/>
    </row>
    <row r="50" spans="2:6" ht="18" customHeight="1" x14ac:dyDescent="0.35">
      <c r="B50" s="17" t="s">
        <v>174</v>
      </c>
      <c r="C50" s="17" t="s">
        <v>175</v>
      </c>
      <c r="D50" s="17" t="s">
        <v>176</v>
      </c>
      <c r="E50" s="17" t="s">
        <v>177</v>
      </c>
      <c r="F50" s="17" t="s">
        <v>178</v>
      </c>
    </row>
    <row r="51" spans="2:6" ht="21.75" customHeight="1" x14ac:dyDescent="0.35">
      <c r="B51" s="30" t="s">
        <v>179</v>
      </c>
      <c r="C51" s="31" t="s">
        <v>180</v>
      </c>
      <c r="D51" s="25" t="s">
        <v>586</v>
      </c>
      <c r="E51" s="25"/>
      <c r="F51" s="25"/>
    </row>
    <row r="52" spans="2:6" ht="21.75" customHeight="1" x14ac:dyDescent="0.35">
      <c r="B52" s="33" t="s">
        <v>181</v>
      </c>
      <c r="C52" s="19" t="s">
        <v>182</v>
      </c>
      <c r="D52" s="25" t="s">
        <v>586</v>
      </c>
      <c r="E52" s="25"/>
      <c r="F52" s="25"/>
    </row>
    <row r="53" spans="2:6" ht="21.75" customHeight="1" x14ac:dyDescent="0.35">
      <c r="B53" s="30" t="s">
        <v>183</v>
      </c>
      <c r="C53" s="31" t="s">
        <v>184</v>
      </c>
      <c r="D53" s="25" t="s">
        <v>594</v>
      </c>
      <c r="E53" s="25"/>
      <c r="F53" s="25"/>
    </row>
    <row r="54" spans="2:6" ht="21.75" customHeight="1" x14ac:dyDescent="0.35">
      <c r="B54" s="33" t="s">
        <v>185</v>
      </c>
      <c r="C54" s="19" t="s">
        <v>186</v>
      </c>
      <c r="D54" s="25" t="s">
        <v>586</v>
      </c>
      <c r="E54" s="25"/>
      <c r="F54" s="25"/>
    </row>
    <row r="55" spans="2:6" ht="24" customHeight="1" x14ac:dyDescent="0.35">
      <c r="B55" s="120" t="s">
        <v>187</v>
      </c>
      <c r="C55" s="120"/>
      <c r="D55" s="120"/>
      <c r="E55" s="34">
        <v>4.5</v>
      </c>
      <c r="F55" s="32" t="s">
        <v>113</v>
      </c>
    </row>
    <row r="56" spans="2:6" ht="9.75" customHeight="1" x14ac:dyDescent="0.35">
      <c r="B56" s="35"/>
      <c r="C56" s="35"/>
      <c r="D56" s="35"/>
      <c r="E56" s="35"/>
      <c r="F56" s="35"/>
    </row>
    <row r="57" spans="2:6" ht="15.75" customHeight="1" x14ac:dyDescent="0.35">
      <c r="B57" s="121" t="s">
        <v>188</v>
      </c>
      <c r="C57" s="121"/>
      <c r="D57" s="121"/>
      <c r="E57" s="121"/>
      <c r="F57" s="121"/>
    </row>
    <row r="58" spans="2:6" ht="19.5" customHeight="1" x14ac:dyDescent="0.35">
      <c r="B58" s="36" t="s">
        <v>189</v>
      </c>
      <c r="C58" s="36" t="s">
        <v>140</v>
      </c>
      <c r="D58" s="36" t="s">
        <v>141</v>
      </c>
      <c r="E58" s="36" t="s">
        <v>142</v>
      </c>
      <c r="F58" s="36" t="s">
        <v>100</v>
      </c>
    </row>
    <row r="59" spans="2:6" ht="27.75" customHeight="1" x14ac:dyDescent="0.35">
      <c r="B59" s="37" t="s">
        <v>190</v>
      </c>
      <c r="C59" s="38" t="s">
        <v>191</v>
      </c>
      <c r="D59" s="38" t="s">
        <v>594</v>
      </c>
      <c r="E59" s="38"/>
      <c r="F59" s="38" t="s">
        <v>617</v>
      </c>
    </row>
    <row r="60" spans="2:6" ht="27.75" customHeight="1" x14ac:dyDescent="0.35">
      <c r="B60" s="39" t="s">
        <v>192</v>
      </c>
      <c r="C60" s="40" t="s">
        <v>193</v>
      </c>
      <c r="D60" s="40" t="s">
        <v>586</v>
      </c>
      <c r="E60" s="40"/>
      <c r="F60" s="40" t="s">
        <v>618</v>
      </c>
    </row>
    <row r="61" spans="2:6" ht="27.75" customHeight="1" x14ac:dyDescent="0.35">
      <c r="B61" s="37" t="s">
        <v>194</v>
      </c>
      <c r="C61" s="38" t="s">
        <v>195</v>
      </c>
      <c r="D61" s="38" t="s">
        <v>586</v>
      </c>
      <c r="E61" s="38"/>
      <c r="F61" s="38" t="s">
        <v>619</v>
      </c>
    </row>
    <row r="62" spans="2:6" ht="27.75" customHeight="1" x14ac:dyDescent="0.35">
      <c r="B62" s="39" t="s">
        <v>196</v>
      </c>
      <c r="C62" s="40" t="s">
        <v>197</v>
      </c>
      <c r="D62" s="40" t="s">
        <v>568</v>
      </c>
      <c r="E62" s="40"/>
      <c r="F62" s="40" t="s">
        <v>621</v>
      </c>
    </row>
    <row r="63" spans="2:6" ht="27.75" customHeight="1" x14ac:dyDescent="0.35">
      <c r="B63" s="37" t="s">
        <v>198</v>
      </c>
      <c r="C63" s="38" t="s">
        <v>199</v>
      </c>
      <c r="D63" s="38" t="s">
        <v>586</v>
      </c>
      <c r="E63" s="38"/>
      <c r="F63" s="38" t="s">
        <v>620</v>
      </c>
    </row>
    <row r="64" spans="2:6" ht="24" customHeight="1" x14ac:dyDescent="0.35">
      <c r="B64" s="122" t="s">
        <v>200</v>
      </c>
      <c r="C64" s="122"/>
      <c r="D64" s="122"/>
      <c r="E64" s="109">
        <v>4.5</v>
      </c>
      <c r="F64" s="42" t="s">
        <v>113</v>
      </c>
    </row>
    <row r="65" spans="2:6" ht="9.75" customHeight="1" x14ac:dyDescent="0.35">
      <c r="B65" s="35"/>
      <c r="C65" s="35"/>
      <c r="D65" s="35"/>
      <c r="E65" s="35"/>
      <c r="F65" s="35"/>
    </row>
    <row r="66" spans="2:6" ht="15.75" customHeight="1" x14ac:dyDescent="0.35">
      <c r="B66" s="121" t="s">
        <v>201</v>
      </c>
      <c r="C66" s="121"/>
      <c r="D66" s="121"/>
      <c r="E66" s="121"/>
      <c r="F66" s="121"/>
    </row>
    <row r="67" spans="2:6" ht="19.5" customHeight="1" x14ac:dyDescent="0.35">
      <c r="B67" s="36" t="s">
        <v>189</v>
      </c>
      <c r="C67" s="36" t="s">
        <v>140</v>
      </c>
      <c r="D67" s="36" t="s">
        <v>141</v>
      </c>
      <c r="E67" s="36" t="s">
        <v>142</v>
      </c>
      <c r="F67" s="36" t="s">
        <v>100</v>
      </c>
    </row>
    <row r="68" spans="2:6" ht="27.75" customHeight="1" x14ac:dyDescent="0.35">
      <c r="B68" s="37" t="s">
        <v>202</v>
      </c>
      <c r="C68" s="38" t="s">
        <v>203</v>
      </c>
      <c r="D68" s="38" t="s">
        <v>586</v>
      </c>
      <c r="E68" s="38"/>
      <c r="F68" s="38"/>
    </row>
    <row r="69" spans="2:6" ht="27.75" customHeight="1" x14ac:dyDescent="0.35">
      <c r="B69" s="39" t="s">
        <v>204</v>
      </c>
      <c r="C69" s="40" t="s">
        <v>205</v>
      </c>
      <c r="D69" s="40" t="s">
        <v>586</v>
      </c>
      <c r="E69" s="40"/>
      <c r="F69" s="40"/>
    </row>
    <row r="70" spans="2:6" ht="27.75" customHeight="1" x14ac:dyDescent="0.35">
      <c r="B70" s="37" t="s">
        <v>206</v>
      </c>
      <c r="C70" s="38" t="s">
        <v>207</v>
      </c>
      <c r="D70" s="38" t="s">
        <v>586</v>
      </c>
      <c r="E70" s="38"/>
      <c r="F70" s="38"/>
    </row>
    <row r="71" spans="2:6" ht="27.75" customHeight="1" x14ac:dyDescent="0.35">
      <c r="B71" s="39" t="s">
        <v>208</v>
      </c>
      <c r="C71" s="40" t="s">
        <v>209</v>
      </c>
      <c r="D71" s="40" t="s">
        <v>586</v>
      </c>
      <c r="E71" s="40"/>
      <c r="F71" s="40"/>
    </row>
    <row r="72" spans="2:6" ht="27.75" customHeight="1" x14ac:dyDescent="0.35">
      <c r="B72" s="37" t="s">
        <v>210</v>
      </c>
      <c r="C72" s="38" t="s">
        <v>211</v>
      </c>
      <c r="D72" s="38" t="s">
        <v>622</v>
      </c>
      <c r="E72" s="38"/>
      <c r="F72" s="38"/>
    </row>
    <row r="73" spans="2:6" ht="27.75" customHeight="1" x14ac:dyDescent="0.35">
      <c r="B73" s="39" t="s">
        <v>212</v>
      </c>
      <c r="C73" s="40" t="s">
        <v>213</v>
      </c>
      <c r="D73" s="40" t="s">
        <v>594</v>
      </c>
      <c r="E73" s="40"/>
      <c r="F73" s="40"/>
    </row>
    <row r="74" spans="2:6" ht="24" customHeight="1" x14ac:dyDescent="0.35">
      <c r="B74" s="122" t="s">
        <v>214</v>
      </c>
      <c r="C74" s="122"/>
      <c r="D74" s="122"/>
      <c r="E74" s="41">
        <v>4</v>
      </c>
      <c r="F74" s="42" t="s">
        <v>113</v>
      </c>
    </row>
    <row r="75" spans="2:6" ht="9.75" customHeight="1" x14ac:dyDescent="0.35">
      <c r="B75" s="35"/>
      <c r="C75" s="35"/>
      <c r="D75" s="35"/>
      <c r="E75" s="35"/>
      <c r="F75" s="35"/>
    </row>
    <row r="76" spans="2:6" ht="15.75" customHeight="1" x14ac:dyDescent="0.35">
      <c r="B76" s="121" t="s">
        <v>215</v>
      </c>
      <c r="C76" s="121"/>
      <c r="D76" s="121"/>
      <c r="E76" s="121"/>
      <c r="F76" s="121"/>
    </row>
    <row r="77" spans="2:6" ht="19.5" customHeight="1" x14ac:dyDescent="0.35">
      <c r="B77" s="36" t="s">
        <v>189</v>
      </c>
      <c r="C77" s="36" t="s">
        <v>140</v>
      </c>
      <c r="D77" s="36" t="s">
        <v>141</v>
      </c>
      <c r="E77" s="36" t="s">
        <v>142</v>
      </c>
      <c r="F77" s="36" t="s">
        <v>100</v>
      </c>
    </row>
    <row r="78" spans="2:6" ht="27.75" customHeight="1" x14ac:dyDescent="0.35">
      <c r="B78" s="37" t="s">
        <v>216</v>
      </c>
      <c r="C78" s="38" t="s">
        <v>217</v>
      </c>
      <c r="D78" s="38" t="s">
        <v>623</v>
      </c>
      <c r="E78" s="38"/>
      <c r="F78" s="38"/>
    </row>
    <row r="79" spans="2:6" ht="27.75" customHeight="1" x14ac:dyDescent="0.35">
      <c r="B79" s="39" t="s">
        <v>218</v>
      </c>
      <c r="C79" s="40" t="s">
        <v>219</v>
      </c>
      <c r="D79" s="40" t="s">
        <v>586</v>
      </c>
      <c r="E79" s="40"/>
      <c r="F79" s="40"/>
    </row>
    <row r="80" spans="2:6" ht="27.75" customHeight="1" x14ac:dyDescent="0.35">
      <c r="B80" s="37" t="s">
        <v>220</v>
      </c>
      <c r="C80" s="38" t="s">
        <v>221</v>
      </c>
      <c r="D80" s="38" t="s">
        <v>594</v>
      </c>
      <c r="E80" s="38"/>
      <c r="F80" s="38"/>
    </row>
    <row r="81" spans="2:6" ht="27.75" customHeight="1" x14ac:dyDescent="0.35">
      <c r="B81" s="39" t="s">
        <v>222</v>
      </c>
      <c r="C81" s="40" t="s">
        <v>223</v>
      </c>
      <c r="D81" s="40" t="s">
        <v>624</v>
      </c>
      <c r="E81" s="40"/>
      <c r="F81" s="40"/>
    </row>
    <row r="82" spans="2:6" ht="27.75" customHeight="1" x14ac:dyDescent="0.35">
      <c r="B82" s="37" t="s">
        <v>224</v>
      </c>
      <c r="C82" s="38" t="s">
        <v>225</v>
      </c>
      <c r="D82" s="38" t="s">
        <v>586</v>
      </c>
      <c r="E82" s="38"/>
      <c r="F82" s="38"/>
    </row>
    <row r="83" spans="2:6" ht="24" customHeight="1" x14ac:dyDescent="0.35">
      <c r="B83" s="122" t="s">
        <v>226</v>
      </c>
      <c r="C83" s="122"/>
      <c r="D83" s="122"/>
      <c r="E83" s="41">
        <v>4</v>
      </c>
      <c r="F83" s="42" t="s">
        <v>113</v>
      </c>
    </row>
    <row r="84" spans="2:6" ht="9.75" customHeight="1" x14ac:dyDescent="0.35">
      <c r="B84" s="35"/>
      <c r="C84" s="35"/>
      <c r="D84" s="35"/>
      <c r="E84" s="35"/>
      <c r="F84" s="35"/>
    </row>
    <row r="85" spans="2:6" ht="15.75" customHeight="1" x14ac:dyDescent="0.35">
      <c r="B85" s="121" t="s">
        <v>227</v>
      </c>
      <c r="C85" s="121"/>
      <c r="D85" s="121"/>
      <c r="E85" s="121"/>
      <c r="F85" s="121"/>
    </row>
    <row r="86" spans="2:6" ht="19.5" customHeight="1" x14ac:dyDescent="0.35">
      <c r="B86" s="36" t="s">
        <v>189</v>
      </c>
      <c r="C86" s="36" t="s">
        <v>140</v>
      </c>
      <c r="D86" s="36" t="s">
        <v>141</v>
      </c>
      <c r="E86" s="36" t="s">
        <v>142</v>
      </c>
      <c r="F86" s="36" t="s">
        <v>100</v>
      </c>
    </row>
    <row r="87" spans="2:6" ht="27.75" customHeight="1" x14ac:dyDescent="0.35">
      <c r="B87" s="37" t="s">
        <v>228</v>
      </c>
      <c r="C87" s="38" t="s">
        <v>229</v>
      </c>
      <c r="D87" s="38" t="s">
        <v>625</v>
      </c>
      <c r="E87" s="38"/>
      <c r="F87" s="38"/>
    </row>
    <row r="88" spans="2:6" ht="27.75" customHeight="1" x14ac:dyDescent="0.35">
      <c r="B88" s="39" t="s">
        <v>230</v>
      </c>
      <c r="C88" s="40" t="s">
        <v>231</v>
      </c>
      <c r="D88" s="40" t="s">
        <v>615</v>
      </c>
      <c r="E88" s="40"/>
      <c r="F88" s="40"/>
    </row>
    <row r="89" spans="2:6" ht="27.75" customHeight="1" x14ac:dyDescent="0.35">
      <c r="B89" s="37" t="s">
        <v>232</v>
      </c>
      <c r="C89" s="38" t="s">
        <v>233</v>
      </c>
      <c r="D89" s="38" t="s">
        <v>615</v>
      </c>
      <c r="E89" s="38"/>
      <c r="F89" s="38"/>
    </row>
    <row r="90" spans="2:6" ht="27.75" customHeight="1" x14ac:dyDescent="0.35">
      <c r="B90" s="39" t="s">
        <v>234</v>
      </c>
      <c r="C90" s="40" t="s">
        <v>235</v>
      </c>
      <c r="D90" s="40" t="s">
        <v>615</v>
      </c>
      <c r="E90" s="40"/>
      <c r="F90" s="40"/>
    </row>
    <row r="91" spans="2:6" ht="24" customHeight="1" x14ac:dyDescent="0.35">
      <c r="B91" s="122" t="s">
        <v>236</v>
      </c>
      <c r="C91" s="122"/>
      <c r="D91" s="122"/>
      <c r="E91" s="41">
        <v>5</v>
      </c>
      <c r="F91" s="42" t="s">
        <v>113</v>
      </c>
    </row>
  </sheetData>
  <mergeCells count="26">
    <mergeCell ref="B91:D91"/>
    <mergeCell ref="B66:F66"/>
    <mergeCell ref="B74:D74"/>
    <mergeCell ref="B76:F76"/>
    <mergeCell ref="B83:D83"/>
    <mergeCell ref="B85:F85"/>
    <mergeCell ref="B42:F42"/>
    <mergeCell ref="B49:F49"/>
    <mergeCell ref="B55:D55"/>
    <mergeCell ref="B57:F57"/>
    <mergeCell ref="B64:D64"/>
    <mergeCell ref="B19:D19"/>
    <mergeCell ref="B21:F21"/>
    <mergeCell ref="B29:D29"/>
    <mergeCell ref="B31:F31"/>
    <mergeCell ref="B40:D40"/>
    <mergeCell ref="C7:F7"/>
    <mergeCell ref="C8:F8"/>
    <mergeCell ref="C9:F9"/>
    <mergeCell ref="C10:F10"/>
    <mergeCell ref="B12:F12"/>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91"/>
  <sheetViews>
    <sheetView showGridLines="0" tabSelected="1" topLeftCell="A85" zoomScaleNormal="100" workbookViewId="0">
      <selection activeCell="F74" sqref="F74"/>
    </sheetView>
  </sheetViews>
  <sheetFormatPr defaultColWidth="8.6328125" defaultRowHeight="14.5" x14ac:dyDescent="0.35"/>
  <cols>
    <col min="1" max="1" width="3" customWidth="1"/>
    <col min="2" max="3" width="22" customWidth="1"/>
    <col min="4" max="5" width="10" customWidth="1"/>
    <col min="6" max="6" width="22" customWidth="1"/>
    <col min="7" max="7" width="5" customWidth="1"/>
  </cols>
  <sheetData>
    <row r="1" spans="2:6" ht="31.5" customHeight="1" x14ac:dyDescent="0.35">
      <c r="B1" s="116" t="s">
        <v>237</v>
      </c>
      <c r="C1" s="116"/>
      <c r="D1" s="116"/>
      <c r="E1" s="116"/>
      <c r="F1" s="116"/>
    </row>
    <row r="2" spans="2:6" ht="18" customHeight="1" x14ac:dyDescent="0.35">
      <c r="B2" s="117" t="s">
        <v>92</v>
      </c>
      <c r="C2" s="117"/>
      <c r="D2" s="117"/>
      <c r="E2" s="117"/>
      <c r="F2" s="117"/>
    </row>
    <row r="3" spans="2:6" ht="7.5" customHeight="1" x14ac:dyDescent="0.35"/>
    <row r="4" spans="2:6" ht="15.75" customHeight="1" x14ac:dyDescent="0.35">
      <c r="B4" s="112" t="s">
        <v>238</v>
      </c>
      <c r="C4" s="112"/>
      <c r="D4" s="112"/>
      <c r="E4" s="112"/>
      <c r="F4" s="112"/>
    </row>
    <row r="5" spans="2:6" ht="18" customHeight="1" x14ac:dyDescent="0.35">
      <c r="B5" s="2" t="s">
        <v>43</v>
      </c>
      <c r="C5" s="118" t="s">
        <v>30</v>
      </c>
      <c r="D5" s="118"/>
      <c r="E5" s="118"/>
      <c r="F5" s="118"/>
    </row>
    <row r="6" spans="2:6" ht="18" customHeight="1" x14ac:dyDescent="0.35">
      <c r="B6" s="2" t="s">
        <v>47</v>
      </c>
      <c r="C6" s="118">
        <v>26</v>
      </c>
      <c r="D6" s="118"/>
      <c r="E6" s="118"/>
      <c r="F6" s="118"/>
    </row>
    <row r="7" spans="2:6" ht="18" customHeight="1" x14ac:dyDescent="0.35">
      <c r="B7" s="2" t="s">
        <v>7</v>
      </c>
      <c r="C7" s="118" t="s">
        <v>553</v>
      </c>
      <c r="D7" s="118"/>
      <c r="E7" s="118"/>
      <c r="F7" s="118"/>
    </row>
    <row r="8" spans="2:6" ht="18" customHeight="1" x14ac:dyDescent="0.35">
      <c r="B8" s="2" t="s">
        <v>8</v>
      </c>
      <c r="C8" s="118" t="s">
        <v>552</v>
      </c>
      <c r="D8" s="118"/>
      <c r="E8" s="118"/>
      <c r="F8" s="118"/>
    </row>
    <row r="9" spans="2:6" ht="18" customHeight="1" x14ac:dyDescent="0.35">
      <c r="B9" s="2" t="s">
        <v>94</v>
      </c>
      <c r="C9" s="118" t="s">
        <v>562</v>
      </c>
      <c r="D9" s="118"/>
      <c r="E9" s="118"/>
      <c r="F9" s="118"/>
    </row>
    <row r="10" spans="2:6" ht="18" customHeight="1" x14ac:dyDescent="0.35">
      <c r="B10" s="2" t="s">
        <v>95</v>
      </c>
      <c r="C10" s="119">
        <v>0.63750000000000007</v>
      </c>
      <c r="D10" s="118"/>
      <c r="E10" s="118"/>
      <c r="F10" s="118"/>
    </row>
    <row r="11" spans="2:6" ht="9.75" customHeight="1" x14ac:dyDescent="0.35"/>
    <row r="12" spans="2:6" ht="15.75" customHeight="1" x14ac:dyDescent="0.35">
      <c r="B12" s="112" t="s">
        <v>239</v>
      </c>
      <c r="C12" s="112"/>
      <c r="D12" s="112"/>
      <c r="E12" s="112"/>
      <c r="F12" s="112"/>
    </row>
    <row r="13" spans="2:6" ht="19.5" customHeight="1" x14ac:dyDescent="0.35">
      <c r="B13" s="1" t="s">
        <v>97</v>
      </c>
      <c r="C13" s="1" t="s">
        <v>98</v>
      </c>
      <c r="D13" s="1" t="s">
        <v>99</v>
      </c>
      <c r="E13" s="1" t="s">
        <v>100</v>
      </c>
      <c r="F13" s="1" t="s">
        <v>101</v>
      </c>
    </row>
    <row r="14" spans="2:6" ht="27.75" customHeight="1" x14ac:dyDescent="0.35">
      <c r="B14" s="30" t="s">
        <v>102</v>
      </c>
      <c r="C14" s="31" t="s">
        <v>103</v>
      </c>
      <c r="D14" s="32" t="s">
        <v>597</v>
      </c>
      <c r="E14" s="32" t="s">
        <v>564</v>
      </c>
      <c r="F14" s="32"/>
    </row>
    <row r="15" spans="2:6" ht="27.75" customHeight="1" x14ac:dyDescent="0.35">
      <c r="B15" s="33" t="s">
        <v>104</v>
      </c>
      <c r="C15" s="19" t="s">
        <v>105</v>
      </c>
      <c r="D15" s="32" t="s">
        <v>563</v>
      </c>
      <c r="E15" s="32" t="s">
        <v>565</v>
      </c>
      <c r="F15" s="32"/>
    </row>
    <row r="16" spans="2:6" ht="27.75" customHeight="1" x14ac:dyDescent="0.35">
      <c r="B16" s="30" t="s">
        <v>106</v>
      </c>
      <c r="C16" s="31" t="s">
        <v>107</v>
      </c>
      <c r="D16" s="32" t="s">
        <v>563</v>
      </c>
      <c r="E16" s="32" t="s">
        <v>598</v>
      </c>
      <c r="F16" s="32"/>
    </row>
    <row r="17" spans="2:6" ht="27.75" customHeight="1" x14ac:dyDescent="0.35">
      <c r="B17" s="33" t="s">
        <v>108</v>
      </c>
      <c r="C17" s="19" t="s">
        <v>109</v>
      </c>
      <c r="D17" s="32" t="s">
        <v>563</v>
      </c>
      <c r="E17" s="32" t="s">
        <v>599</v>
      </c>
      <c r="F17" s="32"/>
    </row>
    <row r="18" spans="2:6" ht="27.75" customHeight="1" x14ac:dyDescent="0.35">
      <c r="B18" s="30" t="s">
        <v>110</v>
      </c>
      <c r="C18" s="31" t="s">
        <v>111</v>
      </c>
      <c r="D18" s="32" t="s">
        <v>563</v>
      </c>
      <c r="E18" s="32" t="s">
        <v>600</v>
      </c>
      <c r="F18" s="32"/>
    </row>
    <row r="19" spans="2:6" ht="24" customHeight="1" x14ac:dyDescent="0.35">
      <c r="B19" s="120" t="s">
        <v>112</v>
      </c>
      <c r="C19" s="120"/>
      <c r="D19" s="120"/>
      <c r="E19" s="34">
        <v>5</v>
      </c>
      <c r="F19" s="32" t="s">
        <v>113</v>
      </c>
    </row>
    <row r="20" spans="2:6" ht="9.75" customHeight="1" x14ac:dyDescent="0.35"/>
    <row r="21" spans="2:6" ht="15.75" customHeight="1" x14ac:dyDescent="0.35">
      <c r="B21" s="112" t="s">
        <v>240</v>
      </c>
      <c r="C21" s="112"/>
      <c r="D21" s="112"/>
      <c r="E21" s="112"/>
      <c r="F21" s="112"/>
    </row>
    <row r="22" spans="2:6" ht="19.5" customHeight="1" x14ac:dyDescent="0.35">
      <c r="B22" s="1" t="s">
        <v>115</v>
      </c>
      <c r="C22" s="1" t="s">
        <v>116</v>
      </c>
      <c r="D22" s="1" t="s">
        <v>117</v>
      </c>
      <c r="E22" s="1" t="s">
        <v>118</v>
      </c>
      <c r="F22" s="1" t="s">
        <v>100</v>
      </c>
    </row>
    <row r="23" spans="2:6" ht="24" customHeight="1" x14ac:dyDescent="0.35">
      <c r="B23" s="30" t="s">
        <v>119</v>
      </c>
      <c r="C23" s="31" t="s">
        <v>120</v>
      </c>
      <c r="D23" s="25" t="s">
        <v>601</v>
      </c>
      <c r="E23" s="31" t="s">
        <v>121</v>
      </c>
      <c r="F23" s="25" t="s">
        <v>602</v>
      </c>
    </row>
    <row r="24" spans="2:6" ht="24" customHeight="1" x14ac:dyDescent="0.35">
      <c r="B24" s="33" t="s">
        <v>122</v>
      </c>
      <c r="C24" s="19" t="s">
        <v>123</v>
      </c>
      <c r="D24" s="25" t="s">
        <v>603</v>
      </c>
      <c r="E24" s="19" t="s">
        <v>124</v>
      </c>
      <c r="F24" s="25" t="s">
        <v>604</v>
      </c>
    </row>
    <row r="25" spans="2:6" ht="24" customHeight="1" x14ac:dyDescent="0.35">
      <c r="B25" s="30" t="s">
        <v>125</v>
      </c>
      <c r="C25" s="31" t="s">
        <v>126</v>
      </c>
      <c r="D25" s="25" t="s">
        <v>605</v>
      </c>
      <c r="E25" s="31" t="s">
        <v>127</v>
      </c>
      <c r="F25" s="25" t="s">
        <v>606</v>
      </c>
    </row>
    <row r="26" spans="2:6" ht="24" customHeight="1" x14ac:dyDescent="0.35">
      <c r="B26" s="33" t="s">
        <v>128</v>
      </c>
      <c r="C26" s="19" t="s">
        <v>129</v>
      </c>
      <c r="D26" s="108">
        <v>0.01</v>
      </c>
      <c r="E26" s="19" t="s">
        <v>130</v>
      </c>
      <c r="F26" s="25" t="s">
        <v>607</v>
      </c>
    </row>
    <row r="27" spans="2:6" ht="24" customHeight="1" x14ac:dyDescent="0.35">
      <c r="B27" s="30" t="s">
        <v>131</v>
      </c>
      <c r="C27" s="31" t="s">
        <v>132</v>
      </c>
      <c r="D27" s="25" t="s">
        <v>608</v>
      </c>
      <c r="E27" s="31" t="s">
        <v>133</v>
      </c>
      <c r="F27" s="25" t="s">
        <v>609</v>
      </c>
    </row>
    <row r="28" spans="2:6" ht="24" customHeight="1" x14ac:dyDescent="0.35">
      <c r="B28" s="33" t="s">
        <v>134</v>
      </c>
      <c r="C28" s="19" t="s">
        <v>135</v>
      </c>
      <c r="D28" s="25" t="s">
        <v>610</v>
      </c>
      <c r="E28" s="19" t="s">
        <v>136</v>
      </c>
      <c r="F28" s="25" t="s">
        <v>611</v>
      </c>
    </row>
    <row r="29" spans="2:6" ht="24" customHeight="1" x14ac:dyDescent="0.35">
      <c r="B29" s="120" t="s">
        <v>137</v>
      </c>
      <c r="C29" s="120"/>
      <c r="D29" s="120"/>
      <c r="E29" s="34">
        <v>5</v>
      </c>
      <c r="F29" s="32" t="s">
        <v>113</v>
      </c>
    </row>
    <row r="30" spans="2:6" ht="9.75" customHeight="1" x14ac:dyDescent="0.35"/>
    <row r="31" spans="2:6" ht="15.75" customHeight="1" x14ac:dyDescent="0.35">
      <c r="B31" s="112" t="s">
        <v>241</v>
      </c>
      <c r="C31" s="112"/>
      <c r="D31" s="112"/>
      <c r="E31" s="112"/>
      <c r="F31" s="112"/>
    </row>
    <row r="32" spans="2:6" ht="19.5" customHeight="1" x14ac:dyDescent="0.35">
      <c r="B32" s="1" t="s">
        <v>139</v>
      </c>
      <c r="C32" s="1" t="s">
        <v>140</v>
      </c>
      <c r="D32" s="1" t="s">
        <v>141</v>
      </c>
      <c r="E32" s="1" t="s">
        <v>142</v>
      </c>
      <c r="F32" s="1" t="s">
        <v>100</v>
      </c>
    </row>
    <row r="33" spans="2:6" ht="24" customHeight="1" x14ac:dyDescent="0.35">
      <c r="B33" s="30" t="s">
        <v>143</v>
      </c>
      <c r="C33" s="31" t="s">
        <v>144</v>
      </c>
      <c r="D33" s="25">
        <v>10</v>
      </c>
      <c r="E33" s="25" t="s">
        <v>612</v>
      </c>
      <c r="F33" s="25"/>
    </row>
    <row r="34" spans="2:6" ht="24" customHeight="1" x14ac:dyDescent="0.35">
      <c r="B34" s="33" t="s">
        <v>145</v>
      </c>
      <c r="C34" s="19" t="s">
        <v>146</v>
      </c>
      <c r="D34" s="25" t="s">
        <v>613</v>
      </c>
      <c r="E34" s="25" t="s">
        <v>614</v>
      </c>
      <c r="F34" s="25"/>
    </row>
    <row r="35" spans="2:6" ht="24" customHeight="1" x14ac:dyDescent="0.35">
      <c r="B35" s="30" t="s">
        <v>147</v>
      </c>
      <c r="C35" s="31" t="s">
        <v>148</v>
      </c>
      <c r="D35" s="25" t="s">
        <v>586</v>
      </c>
      <c r="E35" s="25" t="s">
        <v>616</v>
      </c>
      <c r="F35" s="25"/>
    </row>
    <row r="36" spans="2:6" ht="24" customHeight="1" x14ac:dyDescent="0.35">
      <c r="B36" s="33" t="s">
        <v>149</v>
      </c>
      <c r="C36" s="19" t="s">
        <v>150</v>
      </c>
      <c r="D36" s="25" t="s">
        <v>586</v>
      </c>
      <c r="E36" s="25"/>
      <c r="F36" s="25"/>
    </row>
    <row r="37" spans="2:6" ht="24" customHeight="1" x14ac:dyDescent="0.35">
      <c r="B37" s="30" t="s">
        <v>151</v>
      </c>
      <c r="C37" s="31" t="s">
        <v>152</v>
      </c>
      <c r="D37" s="25" t="s">
        <v>586</v>
      </c>
      <c r="E37" s="25"/>
      <c r="F37" s="25"/>
    </row>
    <row r="38" spans="2:6" ht="24" customHeight="1" x14ac:dyDescent="0.35">
      <c r="B38" s="33" t="s">
        <v>153</v>
      </c>
      <c r="C38" s="19" t="s">
        <v>154</v>
      </c>
      <c r="D38" s="25" t="s">
        <v>586</v>
      </c>
      <c r="E38" s="25"/>
      <c r="F38" s="25"/>
    </row>
    <row r="39" spans="2:6" ht="24" customHeight="1" x14ac:dyDescent="0.35">
      <c r="B39" s="30" t="s">
        <v>155</v>
      </c>
      <c r="C39" s="31" t="s">
        <v>156</v>
      </c>
      <c r="D39" s="25" t="s">
        <v>594</v>
      </c>
      <c r="E39" s="25"/>
      <c r="F39" s="25"/>
    </row>
    <row r="40" spans="2:6" ht="24" customHeight="1" x14ac:dyDescent="0.35">
      <c r="B40" s="120" t="s">
        <v>157</v>
      </c>
      <c r="C40" s="120"/>
      <c r="D40" s="120"/>
      <c r="E40" s="34">
        <v>3.5</v>
      </c>
      <c r="F40" s="32" t="s">
        <v>113</v>
      </c>
    </row>
    <row r="41" spans="2:6" ht="9.75" customHeight="1" x14ac:dyDescent="0.35"/>
    <row r="42" spans="2:6" ht="15.75" customHeight="1" x14ac:dyDescent="0.35">
      <c r="B42" s="112" t="s">
        <v>242</v>
      </c>
      <c r="C42" s="112"/>
      <c r="D42" s="112"/>
      <c r="E42" s="112"/>
      <c r="F42" s="112"/>
    </row>
    <row r="43" spans="2:6" ht="19.5" customHeight="1" x14ac:dyDescent="0.35">
      <c r="B43" s="1" t="s">
        <v>54</v>
      </c>
      <c r="C43" s="1" t="s">
        <v>159</v>
      </c>
      <c r="D43" s="1" t="s">
        <v>160</v>
      </c>
      <c r="E43" s="1" t="s">
        <v>161</v>
      </c>
      <c r="F43" s="1" t="s">
        <v>162</v>
      </c>
    </row>
    <row r="44" spans="2:6" ht="24" customHeight="1" x14ac:dyDescent="0.35">
      <c r="B44" s="30" t="s">
        <v>163</v>
      </c>
      <c r="C44" s="31" t="s">
        <v>164</v>
      </c>
      <c r="D44" s="25" t="s">
        <v>629</v>
      </c>
      <c r="E44" s="25" t="s">
        <v>626</v>
      </c>
      <c r="F44" s="25" t="s">
        <v>586</v>
      </c>
    </row>
    <row r="45" spans="2:6" ht="24" customHeight="1" x14ac:dyDescent="0.35">
      <c r="B45" s="33" t="s">
        <v>165</v>
      </c>
      <c r="C45" s="19" t="s">
        <v>166</v>
      </c>
      <c r="D45" s="25" t="s">
        <v>630</v>
      </c>
      <c r="E45" s="25" t="s">
        <v>626</v>
      </c>
      <c r="F45" s="25" t="s">
        <v>586</v>
      </c>
    </row>
    <row r="46" spans="2:6" ht="24" customHeight="1" x14ac:dyDescent="0.35">
      <c r="B46" s="30" t="s">
        <v>167</v>
      </c>
      <c r="C46" s="31" t="s">
        <v>168</v>
      </c>
      <c r="D46" s="25" t="s">
        <v>631</v>
      </c>
      <c r="E46" s="25" t="s">
        <v>627</v>
      </c>
      <c r="F46" s="25" t="s">
        <v>626</v>
      </c>
    </row>
    <row r="47" spans="2:6" ht="24" customHeight="1" x14ac:dyDescent="0.35">
      <c r="B47" s="33" t="s">
        <v>169</v>
      </c>
      <c r="C47" s="19" t="s">
        <v>170</v>
      </c>
      <c r="D47" s="25" t="s">
        <v>632</v>
      </c>
      <c r="E47" s="25" t="s">
        <v>627</v>
      </c>
      <c r="F47" s="25" t="s">
        <v>615</v>
      </c>
    </row>
    <row r="48" spans="2:6" ht="24" customHeight="1" x14ac:dyDescent="0.35">
      <c r="B48" s="30" t="s">
        <v>171</v>
      </c>
      <c r="C48" s="31" t="s">
        <v>172</v>
      </c>
      <c r="D48" s="25" t="s">
        <v>570</v>
      </c>
      <c r="E48" s="25" t="s">
        <v>627</v>
      </c>
      <c r="F48" s="25" t="s">
        <v>615</v>
      </c>
    </row>
    <row r="49" spans="2:6" ht="15.75" customHeight="1" x14ac:dyDescent="0.35">
      <c r="B49" s="112" t="s">
        <v>173</v>
      </c>
      <c r="C49" s="112"/>
      <c r="D49" s="112"/>
      <c r="E49" s="112"/>
      <c r="F49" s="112"/>
    </row>
    <row r="50" spans="2:6" ht="18" customHeight="1" x14ac:dyDescent="0.35">
      <c r="B50" s="17" t="s">
        <v>174</v>
      </c>
      <c r="C50" s="17" t="s">
        <v>175</v>
      </c>
      <c r="D50" s="17" t="s">
        <v>176</v>
      </c>
      <c r="E50" s="17" t="s">
        <v>177</v>
      </c>
      <c r="F50" s="17" t="s">
        <v>178</v>
      </c>
    </row>
    <row r="51" spans="2:6" ht="21.75" customHeight="1" x14ac:dyDescent="0.35">
      <c r="B51" s="30" t="s">
        <v>179</v>
      </c>
      <c r="C51" s="31" t="s">
        <v>180</v>
      </c>
      <c r="D51" s="25" t="s">
        <v>615</v>
      </c>
      <c r="E51" s="25"/>
      <c r="F51" s="25"/>
    </row>
    <row r="52" spans="2:6" ht="21.75" customHeight="1" x14ac:dyDescent="0.35">
      <c r="B52" s="33" t="s">
        <v>181</v>
      </c>
      <c r="C52" s="19" t="s">
        <v>182</v>
      </c>
      <c r="D52" s="25" t="s">
        <v>615</v>
      </c>
      <c r="E52" s="25"/>
      <c r="F52" s="25"/>
    </row>
    <row r="53" spans="2:6" ht="21.75" customHeight="1" x14ac:dyDescent="0.35">
      <c r="B53" s="30" t="s">
        <v>183</v>
      </c>
      <c r="C53" s="31" t="s">
        <v>184</v>
      </c>
      <c r="D53" s="25" t="s">
        <v>626</v>
      </c>
      <c r="E53" s="25"/>
      <c r="F53" s="25"/>
    </row>
    <row r="54" spans="2:6" ht="21.75" customHeight="1" x14ac:dyDescent="0.35">
      <c r="B54" s="33" t="s">
        <v>185</v>
      </c>
      <c r="C54" s="19" t="s">
        <v>186</v>
      </c>
      <c r="D54" s="25" t="s">
        <v>626</v>
      </c>
      <c r="E54" s="25"/>
      <c r="F54" s="25"/>
    </row>
    <row r="55" spans="2:6" ht="24" customHeight="1" x14ac:dyDescent="0.35">
      <c r="B55" s="120" t="s">
        <v>187</v>
      </c>
      <c r="C55" s="120"/>
      <c r="D55" s="120"/>
      <c r="E55" s="34">
        <v>4</v>
      </c>
      <c r="F55" s="32" t="s">
        <v>113</v>
      </c>
    </row>
    <row r="56" spans="2:6" ht="9.75" customHeight="1" x14ac:dyDescent="0.35">
      <c r="B56" s="35"/>
      <c r="C56" s="35"/>
      <c r="D56" s="35"/>
      <c r="E56" s="35"/>
      <c r="F56" s="35"/>
    </row>
    <row r="57" spans="2:6" ht="15.75" customHeight="1" x14ac:dyDescent="0.35">
      <c r="B57" s="121" t="s">
        <v>243</v>
      </c>
      <c r="C57" s="121"/>
      <c r="D57" s="121"/>
      <c r="E57" s="121"/>
      <c r="F57" s="121"/>
    </row>
    <row r="58" spans="2:6" ht="19.5" customHeight="1" x14ac:dyDescent="0.35">
      <c r="B58" s="36" t="s">
        <v>189</v>
      </c>
      <c r="C58" s="36" t="s">
        <v>140</v>
      </c>
      <c r="D58" s="36" t="s">
        <v>141</v>
      </c>
      <c r="E58" s="36" t="s">
        <v>142</v>
      </c>
      <c r="F58" s="36" t="s">
        <v>100</v>
      </c>
    </row>
    <row r="59" spans="2:6" ht="27.75" customHeight="1" x14ac:dyDescent="0.35">
      <c r="B59" s="37" t="s">
        <v>190</v>
      </c>
      <c r="C59" s="38" t="s">
        <v>191</v>
      </c>
      <c r="D59" s="38" t="s">
        <v>627</v>
      </c>
      <c r="E59" s="38"/>
      <c r="F59" s="38"/>
    </row>
    <row r="60" spans="2:6" ht="27.75" customHeight="1" x14ac:dyDescent="0.35">
      <c r="B60" s="39" t="s">
        <v>192</v>
      </c>
      <c r="C60" s="40" t="s">
        <v>193</v>
      </c>
      <c r="D60" s="40" t="s">
        <v>586</v>
      </c>
      <c r="E60" s="40"/>
      <c r="F60" s="40"/>
    </row>
    <row r="61" spans="2:6" ht="27.75" customHeight="1" x14ac:dyDescent="0.35">
      <c r="B61" s="37" t="s">
        <v>194</v>
      </c>
      <c r="C61" s="38" t="s">
        <v>195</v>
      </c>
      <c r="D61" s="38" t="s">
        <v>586</v>
      </c>
      <c r="E61" s="38"/>
      <c r="F61" s="38"/>
    </row>
    <row r="62" spans="2:6" ht="27.75" customHeight="1" x14ac:dyDescent="0.35">
      <c r="B62" s="39" t="s">
        <v>196</v>
      </c>
      <c r="C62" s="40" t="s">
        <v>197</v>
      </c>
      <c r="D62" s="40" t="s">
        <v>586</v>
      </c>
      <c r="E62" s="40"/>
      <c r="F62" s="40"/>
    </row>
    <row r="63" spans="2:6" ht="27.75" customHeight="1" x14ac:dyDescent="0.35">
      <c r="B63" s="37" t="s">
        <v>198</v>
      </c>
      <c r="C63" s="38" t="s">
        <v>199</v>
      </c>
      <c r="D63" s="38" t="s">
        <v>586</v>
      </c>
      <c r="E63" s="38"/>
      <c r="F63" s="38"/>
    </row>
    <row r="64" spans="2:6" ht="24" customHeight="1" x14ac:dyDescent="0.35">
      <c r="B64" s="122" t="s">
        <v>200</v>
      </c>
      <c r="C64" s="122"/>
      <c r="D64" s="122"/>
      <c r="E64" s="41">
        <v>5</v>
      </c>
      <c r="F64" s="42" t="s">
        <v>113</v>
      </c>
    </row>
    <row r="65" spans="2:6" ht="9.75" customHeight="1" x14ac:dyDescent="0.35">
      <c r="B65" s="35"/>
      <c r="C65" s="35"/>
      <c r="D65" s="35"/>
      <c r="E65" s="35"/>
      <c r="F65" s="35"/>
    </row>
    <row r="66" spans="2:6" ht="15.75" customHeight="1" x14ac:dyDescent="0.35">
      <c r="B66" s="121" t="s">
        <v>244</v>
      </c>
      <c r="C66" s="121"/>
      <c r="D66" s="121"/>
      <c r="E66" s="121"/>
      <c r="F66" s="121"/>
    </row>
    <row r="67" spans="2:6" ht="19.5" customHeight="1" x14ac:dyDescent="0.35">
      <c r="B67" s="36" t="s">
        <v>189</v>
      </c>
      <c r="C67" s="36" t="s">
        <v>140</v>
      </c>
      <c r="D67" s="36" t="s">
        <v>141</v>
      </c>
      <c r="E67" s="36" t="s">
        <v>142</v>
      </c>
      <c r="F67" s="36" t="s">
        <v>100</v>
      </c>
    </row>
    <row r="68" spans="2:6" ht="27.75" customHeight="1" x14ac:dyDescent="0.35">
      <c r="B68" s="37" t="s">
        <v>202</v>
      </c>
      <c r="C68" s="38" t="s">
        <v>203</v>
      </c>
      <c r="D68" s="38" t="s">
        <v>615</v>
      </c>
      <c r="E68" s="38"/>
      <c r="F68" s="38"/>
    </row>
    <row r="69" spans="2:6" ht="27.75" customHeight="1" x14ac:dyDescent="0.35">
      <c r="B69" s="39" t="s">
        <v>204</v>
      </c>
      <c r="C69" s="40" t="s">
        <v>205</v>
      </c>
      <c r="D69" s="40" t="s">
        <v>615</v>
      </c>
      <c r="E69" s="40"/>
      <c r="F69" s="40"/>
    </row>
    <row r="70" spans="2:6" ht="27.75" customHeight="1" x14ac:dyDescent="0.35">
      <c r="B70" s="37" t="s">
        <v>206</v>
      </c>
      <c r="C70" s="38" t="s">
        <v>207</v>
      </c>
      <c r="D70" s="38" t="s">
        <v>626</v>
      </c>
      <c r="E70" s="38"/>
      <c r="F70" s="38"/>
    </row>
    <row r="71" spans="2:6" ht="27.75" customHeight="1" x14ac:dyDescent="0.35">
      <c r="B71" s="39" t="s">
        <v>208</v>
      </c>
      <c r="C71" s="40" t="s">
        <v>209</v>
      </c>
      <c r="D71" s="40" t="s">
        <v>615</v>
      </c>
      <c r="E71" s="40"/>
      <c r="F71" s="40"/>
    </row>
    <row r="72" spans="2:6" ht="27.75" customHeight="1" x14ac:dyDescent="0.35">
      <c r="B72" s="37" t="s">
        <v>210</v>
      </c>
      <c r="C72" s="38" t="s">
        <v>211</v>
      </c>
      <c r="D72" s="38" t="s">
        <v>633</v>
      </c>
      <c r="E72" s="38"/>
      <c r="F72" s="38"/>
    </row>
    <row r="73" spans="2:6" ht="27.75" customHeight="1" x14ac:dyDescent="0.35">
      <c r="B73" s="39" t="s">
        <v>212</v>
      </c>
      <c r="C73" s="40" t="s">
        <v>213</v>
      </c>
      <c r="D73" s="40" t="s">
        <v>626</v>
      </c>
      <c r="E73" s="40"/>
      <c r="F73" s="40"/>
    </row>
    <row r="74" spans="2:6" ht="24" customHeight="1" x14ac:dyDescent="0.35">
      <c r="B74" s="122" t="s">
        <v>214</v>
      </c>
      <c r="C74" s="122"/>
      <c r="D74" s="122"/>
      <c r="E74" s="41">
        <v>5</v>
      </c>
      <c r="F74" s="42" t="s">
        <v>113</v>
      </c>
    </row>
    <row r="75" spans="2:6" ht="9.75" customHeight="1" x14ac:dyDescent="0.35">
      <c r="B75" s="35"/>
      <c r="C75" s="35"/>
      <c r="D75" s="35"/>
      <c r="E75" s="35"/>
      <c r="F75" s="35"/>
    </row>
    <row r="76" spans="2:6" ht="15.75" customHeight="1" x14ac:dyDescent="0.35">
      <c r="B76" s="121" t="s">
        <v>245</v>
      </c>
      <c r="C76" s="121"/>
      <c r="D76" s="121"/>
      <c r="E76" s="121"/>
      <c r="F76" s="121"/>
    </row>
    <row r="77" spans="2:6" ht="19.5" customHeight="1" x14ac:dyDescent="0.35">
      <c r="B77" s="36" t="s">
        <v>189</v>
      </c>
      <c r="C77" s="36" t="s">
        <v>140</v>
      </c>
      <c r="D77" s="36" t="s">
        <v>141</v>
      </c>
      <c r="E77" s="36" t="s">
        <v>142</v>
      </c>
      <c r="F77" s="36" t="s">
        <v>100</v>
      </c>
    </row>
    <row r="78" spans="2:6" ht="27.75" customHeight="1" x14ac:dyDescent="0.35">
      <c r="B78" s="37" t="s">
        <v>216</v>
      </c>
      <c r="C78" s="38" t="s">
        <v>217</v>
      </c>
      <c r="D78" s="38" t="s">
        <v>634</v>
      </c>
      <c r="E78" s="38"/>
      <c r="F78" s="38"/>
    </row>
    <row r="79" spans="2:6" ht="27.75" customHeight="1" x14ac:dyDescent="0.35">
      <c r="B79" s="39" t="s">
        <v>218</v>
      </c>
      <c r="C79" s="40" t="s">
        <v>219</v>
      </c>
      <c r="D79" s="40" t="s">
        <v>615</v>
      </c>
      <c r="E79" s="40"/>
      <c r="F79" s="40"/>
    </row>
    <row r="80" spans="2:6" ht="27.75" customHeight="1" x14ac:dyDescent="0.35">
      <c r="B80" s="37" t="s">
        <v>220</v>
      </c>
      <c r="C80" s="38" t="s">
        <v>221</v>
      </c>
      <c r="D80" s="38" t="s">
        <v>626</v>
      </c>
      <c r="E80" s="38"/>
      <c r="F80" s="38"/>
    </row>
    <row r="81" spans="2:6" ht="27.75" customHeight="1" x14ac:dyDescent="0.35">
      <c r="B81" s="39" t="s">
        <v>222</v>
      </c>
      <c r="C81" s="40" t="s">
        <v>223</v>
      </c>
      <c r="D81" s="40" t="s">
        <v>626</v>
      </c>
      <c r="E81" s="40"/>
      <c r="F81" s="40"/>
    </row>
    <row r="82" spans="2:6" ht="27.75" customHeight="1" x14ac:dyDescent="0.35">
      <c r="B82" s="37" t="s">
        <v>224</v>
      </c>
      <c r="C82" s="38" t="s">
        <v>225</v>
      </c>
      <c r="D82" s="38" t="s">
        <v>626</v>
      </c>
      <c r="E82" s="38"/>
      <c r="F82" s="38"/>
    </row>
    <row r="83" spans="2:6" ht="24" customHeight="1" x14ac:dyDescent="0.35">
      <c r="B83" s="122" t="s">
        <v>226</v>
      </c>
      <c r="C83" s="122"/>
      <c r="D83" s="122"/>
      <c r="E83" s="41">
        <v>3</v>
      </c>
      <c r="F83" s="42" t="s">
        <v>113</v>
      </c>
    </row>
    <row r="84" spans="2:6" ht="9.75" customHeight="1" x14ac:dyDescent="0.35">
      <c r="B84" s="35"/>
      <c r="C84" s="35"/>
      <c r="D84" s="35"/>
      <c r="E84" s="35"/>
      <c r="F84" s="35"/>
    </row>
    <row r="85" spans="2:6" ht="15.75" customHeight="1" x14ac:dyDescent="0.35">
      <c r="B85" s="121" t="s">
        <v>246</v>
      </c>
      <c r="C85" s="121"/>
      <c r="D85" s="121"/>
      <c r="E85" s="121"/>
      <c r="F85" s="121"/>
    </row>
    <row r="86" spans="2:6" ht="19.5" customHeight="1" x14ac:dyDescent="0.35">
      <c r="B86" s="36" t="s">
        <v>189</v>
      </c>
      <c r="C86" s="36" t="s">
        <v>140</v>
      </c>
      <c r="D86" s="36" t="s">
        <v>141</v>
      </c>
      <c r="E86" s="36" t="s">
        <v>142</v>
      </c>
      <c r="F86" s="36" t="s">
        <v>100</v>
      </c>
    </row>
    <row r="87" spans="2:6" ht="27.75" customHeight="1" x14ac:dyDescent="0.35">
      <c r="B87" s="37" t="s">
        <v>228</v>
      </c>
      <c r="C87" s="38" t="s">
        <v>229</v>
      </c>
      <c r="D87" s="38" t="s">
        <v>635</v>
      </c>
      <c r="E87" s="38"/>
      <c r="F87" s="38"/>
    </row>
    <row r="88" spans="2:6" ht="27.75" customHeight="1" x14ac:dyDescent="0.35">
      <c r="B88" s="39" t="s">
        <v>230</v>
      </c>
      <c r="C88" s="40" t="s">
        <v>231</v>
      </c>
      <c r="D88" s="40" t="s">
        <v>586</v>
      </c>
      <c r="E88" s="40"/>
      <c r="F88" s="40"/>
    </row>
    <row r="89" spans="2:6" ht="27.75" customHeight="1" x14ac:dyDescent="0.35">
      <c r="B89" s="37" t="s">
        <v>232</v>
      </c>
      <c r="C89" s="38" t="s">
        <v>233</v>
      </c>
      <c r="D89" s="38" t="s">
        <v>586</v>
      </c>
      <c r="E89" s="38"/>
      <c r="F89" s="38"/>
    </row>
    <row r="90" spans="2:6" ht="27.75" customHeight="1" x14ac:dyDescent="0.35">
      <c r="B90" s="39" t="s">
        <v>234</v>
      </c>
      <c r="C90" s="40" t="s">
        <v>235</v>
      </c>
      <c r="D90" s="40" t="s">
        <v>586</v>
      </c>
      <c r="E90" s="40"/>
      <c r="F90" s="40"/>
    </row>
    <row r="91" spans="2:6" ht="24" customHeight="1" x14ac:dyDescent="0.35">
      <c r="B91" s="122" t="s">
        <v>236</v>
      </c>
      <c r="C91" s="122"/>
      <c r="D91" s="122"/>
      <c r="E91" s="41">
        <v>4</v>
      </c>
      <c r="F91" s="42" t="s">
        <v>113</v>
      </c>
    </row>
  </sheetData>
  <mergeCells count="26">
    <mergeCell ref="B91:D91"/>
    <mergeCell ref="B66:F66"/>
    <mergeCell ref="B74:D74"/>
    <mergeCell ref="B76:F76"/>
    <mergeCell ref="B83:D83"/>
    <mergeCell ref="B85:F85"/>
    <mergeCell ref="B42:F42"/>
    <mergeCell ref="B49:F49"/>
    <mergeCell ref="B55:D55"/>
    <mergeCell ref="B57:F57"/>
    <mergeCell ref="B64:D64"/>
    <mergeCell ref="B19:D19"/>
    <mergeCell ref="B21:F21"/>
    <mergeCell ref="B29:D29"/>
    <mergeCell ref="B31:F31"/>
    <mergeCell ref="B40:D40"/>
    <mergeCell ref="C7:F7"/>
    <mergeCell ref="C8:F8"/>
    <mergeCell ref="C9:F9"/>
    <mergeCell ref="C10:F10"/>
    <mergeCell ref="B12:F12"/>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9"/>
  <sheetViews>
    <sheetView showGridLines="0" topLeftCell="A21" zoomScaleNormal="100" workbookViewId="0">
      <selection activeCell="I20" sqref="I20"/>
    </sheetView>
  </sheetViews>
  <sheetFormatPr defaultColWidth="8.6328125" defaultRowHeight="14.5" x14ac:dyDescent="0.35"/>
  <cols>
    <col min="1" max="1" width="3" customWidth="1"/>
    <col min="2" max="2" width="25" customWidth="1"/>
    <col min="3" max="4" width="8" customWidth="1"/>
    <col min="5" max="5" width="44" customWidth="1"/>
    <col min="6" max="6" width="10" customWidth="1"/>
    <col min="7" max="7" width="5" customWidth="1"/>
  </cols>
  <sheetData>
    <row r="1" spans="2:6" ht="31.5" customHeight="1" x14ac:dyDescent="0.35">
      <c r="B1" s="116" t="s">
        <v>247</v>
      </c>
      <c r="C1" s="116"/>
      <c r="D1" s="116"/>
      <c r="E1" s="116"/>
      <c r="F1" s="116"/>
    </row>
    <row r="2" spans="2:6" ht="18" customHeight="1" x14ac:dyDescent="0.35">
      <c r="B2" s="117" t="s">
        <v>248</v>
      </c>
      <c r="C2" s="117"/>
      <c r="D2" s="117"/>
      <c r="E2" s="117"/>
      <c r="F2" s="117"/>
    </row>
    <row r="3" spans="2:6" ht="7.5" customHeight="1" x14ac:dyDescent="0.35"/>
    <row r="4" spans="2:6" ht="15.75" customHeight="1" x14ac:dyDescent="0.35">
      <c r="B4" s="112" t="s">
        <v>249</v>
      </c>
      <c r="C4" s="112"/>
      <c r="D4" s="112"/>
      <c r="E4" s="112"/>
      <c r="F4" s="112"/>
    </row>
    <row r="5" spans="2:6" ht="18" customHeight="1" x14ac:dyDescent="0.35">
      <c r="B5" s="2" t="s">
        <v>46</v>
      </c>
      <c r="C5" s="123" t="s">
        <v>628</v>
      </c>
      <c r="D5" s="118"/>
      <c r="E5" s="118"/>
      <c r="F5" s="118"/>
    </row>
    <row r="6" spans="2:6" ht="18" customHeight="1" x14ac:dyDescent="0.35">
      <c r="B6" s="2" t="s">
        <v>250</v>
      </c>
      <c r="C6" s="123" t="s">
        <v>557</v>
      </c>
      <c r="D6" s="118"/>
      <c r="E6" s="118"/>
      <c r="F6" s="118"/>
    </row>
    <row r="7" spans="2:6" ht="18" customHeight="1" x14ac:dyDescent="0.35">
      <c r="B7" s="2" t="s">
        <v>251</v>
      </c>
      <c r="C7" s="123" t="s">
        <v>558</v>
      </c>
      <c r="D7" s="118"/>
      <c r="E7" s="118"/>
      <c r="F7" s="118"/>
    </row>
    <row r="8" spans="2:6" ht="18" customHeight="1" x14ac:dyDescent="0.35">
      <c r="B8" s="2" t="s">
        <v>8</v>
      </c>
      <c r="C8" s="123" t="s">
        <v>561</v>
      </c>
      <c r="D8" s="118"/>
      <c r="E8" s="118"/>
      <c r="F8" s="118"/>
    </row>
    <row r="9" spans="2:6" ht="18" customHeight="1" x14ac:dyDescent="0.35">
      <c r="B9" s="2" t="s">
        <v>252</v>
      </c>
      <c r="C9" s="123" t="s">
        <v>562</v>
      </c>
      <c r="D9" s="118"/>
      <c r="E9" s="118"/>
      <c r="F9" s="118"/>
    </row>
    <row r="10" spans="2:6" ht="7.5" customHeight="1" x14ac:dyDescent="0.35"/>
    <row r="11" spans="2:6" ht="15.75" customHeight="1" x14ac:dyDescent="0.35">
      <c r="B11" s="112" t="s">
        <v>253</v>
      </c>
      <c r="C11" s="112"/>
      <c r="D11" s="112"/>
      <c r="E11" s="112"/>
      <c r="F11" s="112"/>
    </row>
    <row r="12" spans="2:6" ht="30" customHeight="1" x14ac:dyDescent="0.35">
      <c r="B12" s="18" t="s">
        <v>254</v>
      </c>
      <c r="C12" s="18" t="s">
        <v>255</v>
      </c>
      <c r="D12" s="18" t="s">
        <v>256</v>
      </c>
      <c r="E12" s="18" t="s">
        <v>257</v>
      </c>
      <c r="F12" s="18" t="s">
        <v>258</v>
      </c>
    </row>
    <row r="13" spans="2:6" ht="69.75" customHeight="1" x14ac:dyDescent="0.35">
      <c r="B13" s="43" t="s">
        <v>259</v>
      </c>
      <c r="C13" s="44">
        <v>4.5</v>
      </c>
      <c r="D13" s="45" t="s">
        <v>260</v>
      </c>
      <c r="E13" s="46" t="s">
        <v>641</v>
      </c>
      <c r="F13" s="47">
        <f>C13*0.15</f>
        <v>0.67499999999999993</v>
      </c>
    </row>
    <row r="14" spans="2:6" ht="69.75" customHeight="1" x14ac:dyDescent="0.35">
      <c r="B14" s="48" t="s">
        <v>261</v>
      </c>
      <c r="C14" s="44">
        <v>4</v>
      </c>
      <c r="D14" s="49" t="s">
        <v>262</v>
      </c>
      <c r="E14" s="46" t="s">
        <v>642</v>
      </c>
      <c r="F14" s="50">
        <f>C14*0.12</f>
        <v>0.48</v>
      </c>
    </row>
    <row r="15" spans="2:6" ht="69.75" customHeight="1" x14ac:dyDescent="0.35">
      <c r="B15" s="43" t="s">
        <v>263</v>
      </c>
      <c r="C15" s="44">
        <v>5</v>
      </c>
      <c r="D15" s="45" t="s">
        <v>264</v>
      </c>
      <c r="E15" s="46" t="s">
        <v>643</v>
      </c>
      <c r="F15" s="47">
        <f>C15*0.1</f>
        <v>0.5</v>
      </c>
    </row>
    <row r="16" spans="2:6" ht="69.75" customHeight="1" x14ac:dyDescent="0.35">
      <c r="B16" s="48" t="s">
        <v>265</v>
      </c>
      <c r="C16" s="44">
        <v>4.5</v>
      </c>
      <c r="D16" s="49" t="s">
        <v>260</v>
      </c>
      <c r="E16" s="46" t="s">
        <v>644</v>
      </c>
      <c r="F16" s="50">
        <f>C16*0.15</f>
        <v>0.67499999999999993</v>
      </c>
    </row>
    <row r="17" spans="2:6" ht="69.75" customHeight="1" x14ac:dyDescent="0.35">
      <c r="B17" s="43" t="s">
        <v>266</v>
      </c>
      <c r="C17" s="44">
        <v>4.5</v>
      </c>
      <c r="D17" s="45" t="s">
        <v>260</v>
      </c>
      <c r="E17" s="46" t="s">
        <v>645</v>
      </c>
      <c r="F17" s="47">
        <f>C17*0.15</f>
        <v>0.67499999999999993</v>
      </c>
    </row>
    <row r="18" spans="2:6" ht="69.75" customHeight="1" x14ac:dyDescent="0.35">
      <c r="B18" s="48" t="s">
        <v>267</v>
      </c>
      <c r="C18" s="44">
        <v>4</v>
      </c>
      <c r="D18" s="49" t="s">
        <v>260</v>
      </c>
      <c r="E18" s="46" t="s">
        <v>646</v>
      </c>
      <c r="F18" s="50">
        <f>C18*0.15</f>
        <v>0.6</v>
      </c>
    </row>
    <row r="19" spans="2:6" ht="69.75" customHeight="1" x14ac:dyDescent="0.35">
      <c r="B19" s="43" t="s">
        <v>268</v>
      </c>
      <c r="C19" s="44">
        <v>4</v>
      </c>
      <c r="D19" s="45" t="s">
        <v>269</v>
      </c>
      <c r="E19" s="46" t="s">
        <v>647</v>
      </c>
      <c r="F19" s="47">
        <f>C19*0.08</f>
        <v>0.32</v>
      </c>
    </row>
    <row r="20" spans="2:6" ht="69.75" customHeight="1" x14ac:dyDescent="0.35">
      <c r="B20" s="48" t="s">
        <v>270</v>
      </c>
      <c r="C20" s="44">
        <v>5</v>
      </c>
      <c r="D20" s="49" t="s">
        <v>264</v>
      </c>
      <c r="E20" s="46" t="s">
        <v>648</v>
      </c>
      <c r="F20" s="50">
        <f>C20*0.1</f>
        <v>0.5</v>
      </c>
    </row>
    <row r="21" spans="2:6" ht="25.5" customHeight="1" x14ac:dyDescent="0.35">
      <c r="B21" s="124" t="s">
        <v>271</v>
      </c>
      <c r="C21" s="124"/>
      <c r="D21" s="124"/>
      <c r="E21" s="124"/>
      <c r="F21" s="51">
        <f>SUM(F13:F20)</f>
        <v>4.4249999999999989</v>
      </c>
    </row>
    <row r="22" spans="2:6" ht="9.75" customHeight="1" x14ac:dyDescent="0.35"/>
    <row r="23" spans="2:6" ht="15.75" customHeight="1" x14ac:dyDescent="0.35">
      <c r="B23" s="112" t="s">
        <v>272</v>
      </c>
      <c r="C23" s="112"/>
      <c r="D23" s="112"/>
      <c r="E23" s="112"/>
      <c r="F23" s="112"/>
    </row>
    <row r="24" spans="2:6" ht="18" customHeight="1" x14ac:dyDescent="0.35">
      <c r="B24" s="17" t="s">
        <v>189</v>
      </c>
      <c r="C24" s="17" t="s">
        <v>273</v>
      </c>
      <c r="D24" s="127"/>
      <c r="E24" s="127"/>
      <c r="F24" s="17"/>
    </row>
    <row r="25" spans="2:6" ht="24" customHeight="1" x14ac:dyDescent="0.35">
      <c r="B25" s="52" t="s">
        <v>274</v>
      </c>
      <c r="C25" s="126" t="s">
        <v>275</v>
      </c>
      <c r="D25" s="126"/>
      <c r="E25" s="53"/>
      <c r="F25" s="54" t="s">
        <v>276</v>
      </c>
    </row>
    <row r="26" spans="2:6" ht="24" customHeight="1" x14ac:dyDescent="0.35">
      <c r="B26" s="55" t="s">
        <v>277</v>
      </c>
      <c r="C26" s="125" t="s">
        <v>278</v>
      </c>
      <c r="D26" s="125"/>
      <c r="E26" s="53"/>
      <c r="F26" s="54" t="s">
        <v>279</v>
      </c>
    </row>
    <row r="27" spans="2:6" ht="24" customHeight="1" x14ac:dyDescent="0.35">
      <c r="B27" s="52" t="s">
        <v>280</v>
      </c>
      <c r="C27" s="126" t="s">
        <v>281</v>
      </c>
      <c r="D27" s="126"/>
      <c r="E27" s="53"/>
      <c r="F27" s="54" t="s">
        <v>282</v>
      </c>
    </row>
    <row r="28" spans="2:6" ht="24" customHeight="1" x14ac:dyDescent="0.35">
      <c r="B28" s="55" t="s">
        <v>283</v>
      </c>
      <c r="C28" s="125" t="s">
        <v>284</v>
      </c>
      <c r="D28" s="125"/>
      <c r="E28" s="53"/>
      <c r="F28" s="54" t="s">
        <v>285</v>
      </c>
    </row>
    <row r="29" spans="2:6" ht="24" customHeight="1" x14ac:dyDescent="0.35">
      <c r="B29" s="52" t="s">
        <v>286</v>
      </c>
      <c r="C29" s="126" t="s">
        <v>287</v>
      </c>
      <c r="D29" s="126"/>
      <c r="E29" s="53"/>
      <c r="F29" s="54" t="s">
        <v>288</v>
      </c>
    </row>
  </sheetData>
  <mergeCells count="17">
    <mergeCell ref="C28:D28"/>
    <mergeCell ref="C29:D29"/>
    <mergeCell ref="B23:F23"/>
    <mergeCell ref="D24:E24"/>
    <mergeCell ref="C25:D25"/>
    <mergeCell ref="C26:D26"/>
    <mergeCell ref="C27:D27"/>
    <mergeCell ref="C7:F7"/>
    <mergeCell ref="C8:F8"/>
    <mergeCell ref="C9:F9"/>
    <mergeCell ref="B11:F11"/>
    <mergeCell ref="B21:E21"/>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9"/>
  <sheetViews>
    <sheetView showGridLines="0" zoomScaleNormal="100" workbookViewId="0">
      <selection activeCell="B21" sqref="B21:E21"/>
    </sheetView>
  </sheetViews>
  <sheetFormatPr defaultColWidth="8.6328125" defaultRowHeight="14.5" x14ac:dyDescent="0.35"/>
  <cols>
    <col min="1" max="1" width="3" customWidth="1"/>
    <col min="2" max="2" width="25" customWidth="1"/>
    <col min="3" max="4" width="8" customWidth="1"/>
    <col min="5" max="5" width="44" customWidth="1"/>
    <col min="6" max="6" width="10" customWidth="1"/>
    <col min="7" max="7" width="5" customWidth="1"/>
  </cols>
  <sheetData>
    <row r="1" spans="2:6" ht="31.5" customHeight="1" x14ac:dyDescent="0.35">
      <c r="B1" s="116" t="s">
        <v>289</v>
      </c>
      <c r="C1" s="116"/>
      <c r="D1" s="116"/>
      <c r="E1" s="116"/>
      <c r="F1" s="116"/>
    </row>
    <row r="2" spans="2:6" ht="18" customHeight="1" x14ac:dyDescent="0.35">
      <c r="B2" s="128" t="s">
        <v>248</v>
      </c>
      <c r="C2" s="128"/>
      <c r="D2" s="128"/>
      <c r="E2" s="128"/>
      <c r="F2" s="128"/>
    </row>
    <row r="3" spans="2:6" ht="7.5" customHeight="1" x14ac:dyDescent="0.35"/>
    <row r="4" spans="2:6" ht="15.75" customHeight="1" x14ac:dyDescent="0.35">
      <c r="B4" s="112" t="s">
        <v>249</v>
      </c>
      <c r="C4" s="112"/>
      <c r="D4" s="112"/>
      <c r="E4" s="112"/>
      <c r="F4" s="112"/>
    </row>
    <row r="5" spans="2:6" ht="18" customHeight="1" x14ac:dyDescent="0.35">
      <c r="B5" s="2" t="s">
        <v>46</v>
      </c>
      <c r="C5" s="118" t="s">
        <v>30</v>
      </c>
      <c r="D5" s="118"/>
      <c r="E5" s="118"/>
      <c r="F5" s="118"/>
    </row>
    <row r="6" spans="2:6" ht="18" customHeight="1" x14ac:dyDescent="0.35">
      <c r="B6" s="2" t="s">
        <v>250</v>
      </c>
      <c r="C6" s="118">
        <v>26</v>
      </c>
      <c r="D6" s="118"/>
      <c r="E6" s="118"/>
      <c r="F6" s="118"/>
    </row>
    <row r="7" spans="2:6" ht="18" customHeight="1" x14ac:dyDescent="0.35">
      <c r="B7" s="2" t="s">
        <v>251</v>
      </c>
      <c r="C7" s="118" t="s">
        <v>553</v>
      </c>
      <c r="D7" s="118"/>
      <c r="E7" s="118"/>
      <c r="F7" s="118"/>
    </row>
    <row r="8" spans="2:6" ht="18" customHeight="1" x14ac:dyDescent="0.35">
      <c r="B8" s="2" t="s">
        <v>8</v>
      </c>
      <c r="C8" s="118" t="s">
        <v>552</v>
      </c>
      <c r="D8" s="118"/>
      <c r="E8" s="118"/>
      <c r="F8" s="118"/>
    </row>
    <row r="9" spans="2:6" ht="18" customHeight="1" x14ac:dyDescent="0.35">
      <c r="B9" s="2" t="s">
        <v>252</v>
      </c>
      <c r="C9" s="118" t="s">
        <v>562</v>
      </c>
      <c r="D9" s="118"/>
      <c r="E9" s="118"/>
      <c r="F9" s="118"/>
    </row>
    <row r="10" spans="2:6" ht="7.5" customHeight="1" x14ac:dyDescent="0.35"/>
    <row r="11" spans="2:6" ht="15.75" customHeight="1" x14ac:dyDescent="0.35">
      <c r="B11" s="112" t="s">
        <v>253</v>
      </c>
      <c r="C11" s="112"/>
      <c r="D11" s="112"/>
      <c r="E11" s="112"/>
      <c r="F11" s="112"/>
    </row>
    <row r="12" spans="2:6" ht="30" customHeight="1" x14ac:dyDescent="0.35">
      <c r="B12" s="18" t="s">
        <v>254</v>
      </c>
      <c r="C12" s="18" t="s">
        <v>255</v>
      </c>
      <c r="D12" s="18" t="s">
        <v>256</v>
      </c>
      <c r="E12" s="18" t="s">
        <v>257</v>
      </c>
      <c r="F12" s="18" t="s">
        <v>258</v>
      </c>
    </row>
    <row r="13" spans="2:6" ht="69.75" customHeight="1" x14ac:dyDescent="0.35">
      <c r="B13" s="43" t="s">
        <v>259</v>
      </c>
      <c r="C13" s="44">
        <v>5</v>
      </c>
      <c r="D13" s="45" t="s">
        <v>260</v>
      </c>
      <c r="E13" s="46" t="s">
        <v>649</v>
      </c>
      <c r="F13" s="47">
        <f>C13*0.15</f>
        <v>0.75</v>
      </c>
    </row>
    <row r="14" spans="2:6" ht="69.75" customHeight="1" x14ac:dyDescent="0.35">
      <c r="B14" s="48" t="s">
        <v>261</v>
      </c>
      <c r="C14" s="44">
        <v>5</v>
      </c>
      <c r="D14" s="49" t="s">
        <v>262</v>
      </c>
      <c r="E14" s="46" t="s">
        <v>650</v>
      </c>
      <c r="F14" s="50">
        <f>C14*0.12</f>
        <v>0.6</v>
      </c>
    </row>
    <row r="15" spans="2:6" ht="69.75" customHeight="1" x14ac:dyDescent="0.35">
      <c r="B15" s="43" t="s">
        <v>263</v>
      </c>
      <c r="C15" s="44">
        <v>3.5</v>
      </c>
      <c r="D15" s="45" t="s">
        <v>264</v>
      </c>
      <c r="E15" s="46" t="s">
        <v>651</v>
      </c>
      <c r="F15" s="47">
        <f>C15*0.1</f>
        <v>0.35000000000000003</v>
      </c>
    </row>
    <row r="16" spans="2:6" ht="69.75" customHeight="1" x14ac:dyDescent="0.35">
      <c r="B16" s="48" t="s">
        <v>265</v>
      </c>
      <c r="C16" s="44">
        <v>4</v>
      </c>
      <c r="D16" s="49" t="s">
        <v>260</v>
      </c>
      <c r="E16" s="46" t="s">
        <v>652</v>
      </c>
      <c r="F16" s="50">
        <f>C16*0.15</f>
        <v>0.6</v>
      </c>
    </row>
    <row r="17" spans="2:6" ht="69.75" customHeight="1" x14ac:dyDescent="0.35">
      <c r="B17" s="43" t="s">
        <v>266</v>
      </c>
      <c r="C17" s="44">
        <v>5</v>
      </c>
      <c r="D17" s="45" t="s">
        <v>260</v>
      </c>
      <c r="E17" s="46" t="s">
        <v>653</v>
      </c>
      <c r="F17" s="47">
        <f>C17*0.15</f>
        <v>0.75</v>
      </c>
    </row>
    <row r="18" spans="2:6" ht="69.75" customHeight="1" x14ac:dyDescent="0.35">
      <c r="B18" s="48" t="s">
        <v>267</v>
      </c>
      <c r="C18" s="44">
        <v>5</v>
      </c>
      <c r="D18" s="49" t="s">
        <v>260</v>
      </c>
      <c r="E18" s="46" t="s">
        <v>654</v>
      </c>
      <c r="F18" s="50">
        <f>C18*0.15</f>
        <v>0.75</v>
      </c>
    </row>
    <row r="19" spans="2:6" ht="69.75" customHeight="1" x14ac:dyDescent="0.35">
      <c r="B19" s="43" t="s">
        <v>268</v>
      </c>
      <c r="C19" s="44">
        <v>3</v>
      </c>
      <c r="D19" s="45" t="s">
        <v>269</v>
      </c>
      <c r="E19" s="46" t="s">
        <v>655</v>
      </c>
      <c r="F19" s="47">
        <f>C19*0.08</f>
        <v>0.24</v>
      </c>
    </row>
    <row r="20" spans="2:6" ht="69.75" customHeight="1" x14ac:dyDescent="0.35">
      <c r="B20" s="48" t="s">
        <v>270</v>
      </c>
      <c r="C20" s="44">
        <v>4</v>
      </c>
      <c r="D20" s="49" t="s">
        <v>264</v>
      </c>
      <c r="E20" s="46" t="s">
        <v>656</v>
      </c>
      <c r="F20" s="50">
        <f>C20*0.1</f>
        <v>0.4</v>
      </c>
    </row>
    <row r="21" spans="2:6" ht="25.5" customHeight="1" x14ac:dyDescent="0.35">
      <c r="B21" s="124" t="s">
        <v>271</v>
      </c>
      <c r="C21" s="124"/>
      <c r="D21" s="124"/>
      <c r="E21" s="124"/>
      <c r="F21" s="51">
        <f>SUM(F13:F20)</f>
        <v>4.4400000000000004</v>
      </c>
    </row>
    <row r="22" spans="2:6" ht="9.75" customHeight="1" x14ac:dyDescent="0.35"/>
    <row r="23" spans="2:6" ht="15.75" customHeight="1" x14ac:dyDescent="0.35">
      <c r="B23" s="112" t="s">
        <v>272</v>
      </c>
      <c r="C23" s="112"/>
      <c r="D23" s="112"/>
      <c r="E23" s="112"/>
      <c r="F23" s="112"/>
    </row>
    <row r="24" spans="2:6" ht="18" customHeight="1" x14ac:dyDescent="0.35">
      <c r="B24" s="17" t="s">
        <v>189</v>
      </c>
      <c r="C24" s="17" t="s">
        <v>273</v>
      </c>
      <c r="D24" s="127"/>
      <c r="E24" s="127"/>
      <c r="F24" s="17"/>
    </row>
    <row r="25" spans="2:6" ht="24" customHeight="1" x14ac:dyDescent="0.35">
      <c r="B25" s="52" t="s">
        <v>274</v>
      </c>
      <c r="C25" s="126" t="s">
        <v>275</v>
      </c>
      <c r="D25" s="126"/>
      <c r="E25" s="53"/>
      <c r="F25" s="54" t="s">
        <v>276</v>
      </c>
    </row>
    <row r="26" spans="2:6" ht="24" customHeight="1" x14ac:dyDescent="0.35">
      <c r="B26" s="55" t="s">
        <v>277</v>
      </c>
      <c r="C26" s="125" t="s">
        <v>278</v>
      </c>
      <c r="D26" s="125"/>
      <c r="E26" s="53"/>
      <c r="F26" s="54" t="s">
        <v>279</v>
      </c>
    </row>
    <row r="27" spans="2:6" ht="24" customHeight="1" x14ac:dyDescent="0.35">
      <c r="B27" s="52" t="s">
        <v>280</v>
      </c>
      <c r="C27" s="126" t="s">
        <v>281</v>
      </c>
      <c r="D27" s="126"/>
      <c r="E27" s="53"/>
      <c r="F27" s="54" t="s">
        <v>282</v>
      </c>
    </row>
    <row r="28" spans="2:6" ht="24" customHeight="1" x14ac:dyDescent="0.35">
      <c r="B28" s="55" t="s">
        <v>283</v>
      </c>
      <c r="C28" s="125" t="s">
        <v>284</v>
      </c>
      <c r="D28" s="125"/>
      <c r="E28" s="53"/>
      <c r="F28" s="54" t="s">
        <v>285</v>
      </c>
    </row>
    <row r="29" spans="2:6" ht="24" customHeight="1" x14ac:dyDescent="0.35">
      <c r="B29" s="52" t="s">
        <v>286</v>
      </c>
      <c r="C29" s="126" t="s">
        <v>287</v>
      </c>
      <c r="D29" s="126"/>
      <c r="E29" s="53"/>
      <c r="F29" s="54" t="s">
        <v>288</v>
      </c>
    </row>
  </sheetData>
  <mergeCells count="17">
    <mergeCell ref="C28:D28"/>
    <mergeCell ref="C29:D29"/>
    <mergeCell ref="B23:F23"/>
    <mergeCell ref="D24:E24"/>
    <mergeCell ref="C25:D25"/>
    <mergeCell ref="C26:D26"/>
    <mergeCell ref="C27:D27"/>
    <mergeCell ref="C7:F7"/>
    <mergeCell ref="C8:F8"/>
    <mergeCell ref="C9:F9"/>
    <mergeCell ref="B11:F11"/>
    <mergeCell ref="B21:E21"/>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65"/>
  <sheetViews>
    <sheetView showGridLines="0" zoomScaleNormal="100" workbookViewId="0">
      <selection activeCell="I63" sqref="I63"/>
    </sheetView>
  </sheetViews>
  <sheetFormatPr defaultColWidth="8.6328125" defaultRowHeight="14.5" x14ac:dyDescent="0.35"/>
  <cols>
    <col min="1" max="1" width="3" customWidth="1"/>
    <col min="2" max="2" width="26" customWidth="1"/>
    <col min="3" max="6" width="10" customWidth="1"/>
    <col min="7" max="7" width="22" customWidth="1"/>
    <col min="8" max="8" width="5" customWidth="1"/>
  </cols>
  <sheetData>
    <row r="1" spans="2:7" ht="31.5" customHeight="1" x14ac:dyDescent="0.35">
      <c r="B1" s="116" t="s">
        <v>290</v>
      </c>
      <c r="C1" s="116"/>
      <c r="D1" s="116"/>
      <c r="E1" s="116"/>
      <c r="F1" s="116"/>
      <c r="G1" s="116"/>
    </row>
    <row r="2" spans="2:7" ht="18" customHeight="1" x14ac:dyDescent="0.35">
      <c r="B2" s="128" t="s">
        <v>291</v>
      </c>
      <c r="C2" s="128"/>
      <c r="D2" s="128"/>
      <c r="E2" s="128"/>
      <c r="F2" s="128"/>
      <c r="G2" s="128"/>
    </row>
    <row r="3" spans="2:7" ht="7.5" customHeight="1" x14ac:dyDescent="0.35"/>
    <row r="4" spans="2:7" ht="15.75" customHeight="1" x14ac:dyDescent="0.35">
      <c r="B4" s="112" t="s">
        <v>292</v>
      </c>
      <c r="C4" s="112"/>
      <c r="D4" s="112"/>
      <c r="E4" s="112"/>
      <c r="F4" s="112"/>
      <c r="G4" s="112"/>
    </row>
    <row r="5" spans="2:7" ht="15.75" customHeight="1" x14ac:dyDescent="0.35">
      <c r="B5" s="2"/>
      <c r="C5" s="2" t="s">
        <v>42</v>
      </c>
      <c r="D5" s="2"/>
      <c r="E5" s="2" t="s">
        <v>43</v>
      </c>
      <c r="F5" s="2"/>
      <c r="G5" s="2" t="s">
        <v>293</v>
      </c>
    </row>
    <row r="6" spans="2:7" ht="21.75" customHeight="1" x14ac:dyDescent="0.35">
      <c r="B6" s="56"/>
      <c r="C6" s="56" t="s">
        <v>628</v>
      </c>
      <c r="D6" s="56"/>
      <c r="E6" s="56" t="s">
        <v>30</v>
      </c>
      <c r="F6" s="56"/>
      <c r="G6" s="56"/>
    </row>
    <row r="7" spans="2:7" ht="7.5" customHeight="1" x14ac:dyDescent="0.35"/>
    <row r="8" spans="2:7" ht="15.75" customHeight="1" x14ac:dyDescent="0.35">
      <c r="B8" s="112" t="s">
        <v>294</v>
      </c>
      <c r="C8" s="112"/>
      <c r="D8" s="112"/>
      <c r="E8" s="112"/>
      <c r="F8" s="112"/>
      <c r="G8" s="112"/>
    </row>
    <row r="9" spans="2:7" ht="30" customHeight="1" x14ac:dyDescent="0.35">
      <c r="B9" s="18" t="s">
        <v>295</v>
      </c>
      <c r="C9" s="18" t="s">
        <v>256</v>
      </c>
      <c r="D9" s="18" t="s">
        <v>296</v>
      </c>
      <c r="E9" s="18" t="s">
        <v>297</v>
      </c>
      <c r="F9" s="18" t="s">
        <v>298</v>
      </c>
      <c r="G9" s="18" t="s">
        <v>299</v>
      </c>
    </row>
    <row r="10" spans="2:7" ht="21.75" customHeight="1" x14ac:dyDescent="0.35">
      <c r="B10" s="30" t="s">
        <v>259</v>
      </c>
      <c r="C10" s="45" t="s">
        <v>260</v>
      </c>
      <c r="D10" s="57">
        <v>4.5</v>
      </c>
      <c r="E10" s="57">
        <v>5</v>
      </c>
      <c r="F10" s="58">
        <f t="shared" ref="F10:F17" si="0">ABS(D10-E10)</f>
        <v>0.5</v>
      </c>
      <c r="G10" s="45" t="str">
        <f t="shared" ref="G10:G17" si="1">IF(D10&gt;E10,"App 1",IF(E10&gt;D10,"App 2","Tied"))</f>
        <v>App 2</v>
      </c>
    </row>
    <row r="11" spans="2:7" ht="21.75" customHeight="1" x14ac:dyDescent="0.35">
      <c r="B11" s="33" t="s">
        <v>261</v>
      </c>
      <c r="C11" s="49" t="s">
        <v>262</v>
      </c>
      <c r="D11" s="57">
        <v>4</v>
      </c>
      <c r="E11" s="57">
        <v>5</v>
      </c>
      <c r="F11" s="59">
        <f t="shared" si="0"/>
        <v>1</v>
      </c>
      <c r="G11" s="49" t="str">
        <f t="shared" si="1"/>
        <v>App 2</v>
      </c>
    </row>
    <row r="12" spans="2:7" ht="21.75" customHeight="1" x14ac:dyDescent="0.35">
      <c r="B12" s="30" t="s">
        <v>263</v>
      </c>
      <c r="C12" s="45" t="s">
        <v>264</v>
      </c>
      <c r="D12" s="57">
        <v>5</v>
      </c>
      <c r="E12" s="57">
        <v>3.5</v>
      </c>
      <c r="F12" s="58">
        <f t="shared" si="0"/>
        <v>1.5</v>
      </c>
      <c r="G12" s="45" t="str">
        <f t="shared" si="1"/>
        <v>App 1</v>
      </c>
    </row>
    <row r="13" spans="2:7" ht="21.75" customHeight="1" x14ac:dyDescent="0.35">
      <c r="B13" s="33" t="s">
        <v>265</v>
      </c>
      <c r="C13" s="49" t="s">
        <v>260</v>
      </c>
      <c r="D13" s="57">
        <v>4.5</v>
      </c>
      <c r="E13" s="57">
        <v>4</v>
      </c>
      <c r="F13" s="59">
        <f t="shared" si="0"/>
        <v>0.5</v>
      </c>
      <c r="G13" s="49" t="str">
        <f t="shared" si="1"/>
        <v>App 1</v>
      </c>
    </row>
    <row r="14" spans="2:7" ht="21.75" customHeight="1" x14ac:dyDescent="0.35">
      <c r="B14" s="30" t="s">
        <v>266</v>
      </c>
      <c r="C14" s="45" t="s">
        <v>260</v>
      </c>
      <c r="D14" s="57">
        <v>4.5</v>
      </c>
      <c r="E14" s="57">
        <v>5</v>
      </c>
      <c r="F14" s="58">
        <f t="shared" si="0"/>
        <v>0.5</v>
      </c>
      <c r="G14" s="45" t="str">
        <f t="shared" si="1"/>
        <v>App 2</v>
      </c>
    </row>
    <row r="15" spans="2:7" ht="21.75" customHeight="1" x14ac:dyDescent="0.35">
      <c r="B15" s="33" t="s">
        <v>267</v>
      </c>
      <c r="C15" s="49" t="s">
        <v>260</v>
      </c>
      <c r="D15" s="57">
        <v>4</v>
      </c>
      <c r="E15" s="57">
        <v>5</v>
      </c>
      <c r="F15" s="59">
        <f t="shared" si="0"/>
        <v>1</v>
      </c>
      <c r="G15" s="49" t="str">
        <f t="shared" si="1"/>
        <v>App 2</v>
      </c>
    </row>
    <row r="16" spans="2:7" ht="21.75" customHeight="1" x14ac:dyDescent="0.35">
      <c r="B16" s="30" t="s">
        <v>268</v>
      </c>
      <c r="C16" s="45" t="s">
        <v>269</v>
      </c>
      <c r="D16" s="57">
        <v>4</v>
      </c>
      <c r="E16" s="57">
        <v>3</v>
      </c>
      <c r="F16" s="58">
        <f t="shared" si="0"/>
        <v>1</v>
      </c>
      <c r="G16" s="45" t="str">
        <f t="shared" si="1"/>
        <v>App 1</v>
      </c>
    </row>
    <row r="17" spans="2:7" ht="21.75" customHeight="1" x14ac:dyDescent="0.35">
      <c r="B17" s="33" t="s">
        <v>270</v>
      </c>
      <c r="C17" s="49" t="s">
        <v>264</v>
      </c>
      <c r="D17" s="57">
        <v>5</v>
      </c>
      <c r="E17" s="57">
        <v>4</v>
      </c>
      <c r="F17" s="59">
        <f t="shared" si="0"/>
        <v>1</v>
      </c>
      <c r="G17" s="49" t="str">
        <f t="shared" si="1"/>
        <v>App 1</v>
      </c>
    </row>
    <row r="18" spans="2:7" ht="21.75" customHeight="1" x14ac:dyDescent="0.35">
      <c r="B18" s="1"/>
      <c r="C18" s="1"/>
      <c r="D18" s="1" t="s">
        <v>300</v>
      </c>
      <c r="E18" s="1" t="s">
        <v>301</v>
      </c>
      <c r="F18" s="1" t="s">
        <v>302</v>
      </c>
      <c r="G18" s="1"/>
    </row>
    <row r="19" spans="2:7" ht="25.5" customHeight="1" x14ac:dyDescent="0.35">
      <c r="B19" s="129" t="s">
        <v>303</v>
      </c>
      <c r="C19" s="129"/>
      <c r="D19" s="51">
        <f>D10*0.15+D11*0.12+D12*0.1+D13*0.15+D14*0.15+D15*0.15+D16*0.08+D17*0.1</f>
        <v>4.4249999999999989</v>
      </c>
      <c r="E19" s="51">
        <f>E10*0.15+E11*0.12+E12*0.1+E13*0.15+E14*0.15+E15*0.15+E16*0.08+E17*0.1</f>
        <v>4.4400000000000004</v>
      </c>
      <c r="F19" s="60">
        <f>ABS(D19-E19)</f>
        <v>1.5000000000001457E-2</v>
      </c>
      <c r="G19" s="61" t="str">
        <f>IF(D19&gt;E19,"App 1 — "&amp;C6," App 2 — "&amp;C6)</f>
        <v xml:space="preserve"> App 2 — Chrome</v>
      </c>
    </row>
    <row r="20" spans="2:7" ht="9.75" customHeight="1" x14ac:dyDescent="0.35"/>
    <row r="21" spans="2:7" ht="15.75" customHeight="1" x14ac:dyDescent="0.35">
      <c r="B21" s="112" t="s">
        <v>304</v>
      </c>
      <c r="C21" s="112"/>
      <c r="D21" s="112"/>
      <c r="E21" s="112"/>
      <c r="F21" s="112"/>
      <c r="G21" s="112"/>
    </row>
    <row r="22" spans="2:7" ht="18" customHeight="1" x14ac:dyDescent="0.35">
      <c r="B22" s="128" t="s">
        <v>305</v>
      </c>
      <c r="C22" s="128"/>
      <c r="D22" s="128"/>
      <c r="E22" s="128"/>
      <c r="F22" s="128"/>
      <c r="G22" s="128"/>
    </row>
    <row r="23" spans="2:7" ht="19.5" customHeight="1" x14ac:dyDescent="0.35">
      <c r="B23" s="1" t="s">
        <v>306</v>
      </c>
      <c r="C23" s="1" t="s">
        <v>256</v>
      </c>
      <c r="D23" s="1" t="s">
        <v>307</v>
      </c>
      <c r="E23" s="1" t="s">
        <v>308</v>
      </c>
      <c r="F23" s="1" t="s">
        <v>309</v>
      </c>
      <c r="G23" s="1" t="s">
        <v>310</v>
      </c>
    </row>
    <row r="24" spans="2:7" ht="18" customHeight="1" x14ac:dyDescent="0.35">
      <c r="B24" s="30" t="s">
        <v>259</v>
      </c>
      <c r="C24" s="62">
        <v>0.15</v>
      </c>
      <c r="D24" s="63">
        <f t="shared" ref="D24:E31" si="2">D10</f>
        <v>4.5</v>
      </c>
      <c r="E24" s="63">
        <f t="shared" si="2"/>
        <v>5</v>
      </c>
      <c r="F24" s="64">
        <f>D24*0.15</f>
        <v>0.67499999999999993</v>
      </c>
      <c r="G24" s="65">
        <f>E24*0.15</f>
        <v>0.75</v>
      </c>
    </row>
    <row r="25" spans="2:7" ht="18" customHeight="1" x14ac:dyDescent="0.35">
      <c r="B25" s="33" t="s">
        <v>261</v>
      </c>
      <c r="C25" s="66">
        <v>0.12</v>
      </c>
      <c r="D25" s="63">
        <f t="shared" si="2"/>
        <v>4</v>
      </c>
      <c r="E25" s="63">
        <f t="shared" si="2"/>
        <v>5</v>
      </c>
      <c r="F25" s="67">
        <f>D25*0.12</f>
        <v>0.48</v>
      </c>
      <c r="G25" s="68">
        <f>E25*0.12</f>
        <v>0.6</v>
      </c>
    </row>
    <row r="26" spans="2:7" ht="18" customHeight="1" x14ac:dyDescent="0.35">
      <c r="B26" s="30" t="s">
        <v>263</v>
      </c>
      <c r="C26" s="62">
        <v>0.1</v>
      </c>
      <c r="D26" s="63">
        <f t="shared" si="2"/>
        <v>5</v>
      </c>
      <c r="E26" s="63">
        <f t="shared" si="2"/>
        <v>3.5</v>
      </c>
      <c r="F26" s="64">
        <f>D26*0.1</f>
        <v>0.5</v>
      </c>
      <c r="G26" s="65">
        <f>E26*0.1</f>
        <v>0.35000000000000003</v>
      </c>
    </row>
    <row r="27" spans="2:7" ht="18" customHeight="1" x14ac:dyDescent="0.35">
      <c r="B27" s="33" t="s">
        <v>265</v>
      </c>
      <c r="C27" s="66">
        <v>0.15</v>
      </c>
      <c r="D27" s="63">
        <f t="shared" si="2"/>
        <v>4.5</v>
      </c>
      <c r="E27" s="63">
        <f t="shared" si="2"/>
        <v>4</v>
      </c>
      <c r="F27" s="67">
        <f t="shared" ref="F27:G29" si="3">D27*0.15</f>
        <v>0.67499999999999993</v>
      </c>
      <c r="G27" s="68">
        <f t="shared" si="3"/>
        <v>0.6</v>
      </c>
    </row>
    <row r="28" spans="2:7" ht="18" customHeight="1" x14ac:dyDescent="0.35">
      <c r="B28" s="30" t="s">
        <v>266</v>
      </c>
      <c r="C28" s="62">
        <v>0.15</v>
      </c>
      <c r="D28" s="63">
        <f t="shared" si="2"/>
        <v>4.5</v>
      </c>
      <c r="E28" s="63">
        <f t="shared" si="2"/>
        <v>5</v>
      </c>
      <c r="F28" s="64">
        <f t="shared" si="3"/>
        <v>0.67499999999999993</v>
      </c>
      <c r="G28" s="65">
        <f t="shared" si="3"/>
        <v>0.75</v>
      </c>
    </row>
    <row r="29" spans="2:7" ht="18" customHeight="1" x14ac:dyDescent="0.35">
      <c r="B29" s="33" t="s">
        <v>267</v>
      </c>
      <c r="C29" s="66">
        <v>0.15</v>
      </c>
      <c r="D29" s="63">
        <f t="shared" si="2"/>
        <v>4</v>
      </c>
      <c r="E29" s="63">
        <f t="shared" si="2"/>
        <v>5</v>
      </c>
      <c r="F29" s="67">
        <f t="shared" si="3"/>
        <v>0.6</v>
      </c>
      <c r="G29" s="68">
        <f t="shared" si="3"/>
        <v>0.75</v>
      </c>
    </row>
    <row r="30" spans="2:7" ht="18" customHeight="1" x14ac:dyDescent="0.35">
      <c r="B30" s="30" t="s">
        <v>268</v>
      </c>
      <c r="C30" s="62">
        <v>0.08</v>
      </c>
      <c r="D30" s="63">
        <f t="shared" si="2"/>
        <v>4</v>
      </c>
      <c r="E30" s="63">
        <f t="shared" si="2"/>
        <v>3</v>
      </c>
      <c r="F30" s="64">
        <f>D30*0.08</f>
        <v>0.32</v>
      </c>
      <c r="G30" s="65">
        <f>E30*0.08</f>
        <v>0.24</v>
      </c>
    </row>
    <row r="31" spans="2:7" ht="18" customHeight="1" x14ac:dyDescent="0.35">
      <c r="B31" s="33" t="s">
        <v>270</v>
      </c>
      <c r="C31" s="66">
        <v>0.1</v>
      </c>
      <c r="D31" s="63">
        <f t="shared" si="2"/>
        <v>5</v>
      </c>
      <c r="E31" s="63">
        <f t="shared" si="2"/>
        <v>4</v>
      </c>
      <c r="F31" s="67">
        <f>D31*0.1</f>
        <v>0.5</v>
      </c>
      <c r="G31" s="68">
        <f>E31*0.1</f>
        <v>0.4</v>
      </c>
    </row>
    <row r="32" spans="2:7" ht="9.75" customHeight="1" x14ac:dyDescent="0.35"/>
    <row r="33" spans="2:7" ht="15.75" customHeight="1" x14ac:dyDescent="0.35">
      <c r="B33" s="112" t="s">
        <v>311</v>
      </c>
      <c r="C33" s="112"/>
      <c r="D33" s="112"/>
      <c r="E33" s="112"/>
      <c r="F33" s="112"/>
      <c r="G33" s="112"/>
    </row>
    <row r="34" spans="2:7" ht="19.5" customHeight="1" x14ac:dyDescent="0.35">
      <c r="B34" s="130" t="s">
        <v>636</v>
      </c>
      <c r="C34" s="130"/>
      <c r="D34" s="130"/>
      <c r="E34" s="130"/>
      <c r="F34" s="130"/>
      <c r="G34" s="130"/>
    </row>
    <row r="35" spans="2:7" ht="19.5" customHeight="1" x14ac:dyDescent="0.35">
      <c r="B35" s="130"/>
      <c r="C35" s="130"/>
      <c r="D35" s="130"/>
      <c r="E35" s="130"/>
      <c r="F35" s="130"/>
      <c r="G35" s="130"/>
    </row>
    <row r="36" spans="2:7" ht="9.75" customHeight="1" x14ac:dyDescent="0.35"/>
    <row r="37" spans="2:7" ht="15.75" customHeight="1" x14ac:dyDescent="0.35">
      <c r="B37" s="112" t="s">
        <v>312</v>
      </c>
      <c r="C37" s="112"/>
      <c r="D37" s="112"/>
      <c r="E37" s="112"/>
      <c r="F37" s="112"/>
      <c r="G37" s="112"/>
    </row>
    <row r="38" spans="2:7" ht="18" customHeight="1" x14ac:dyDescent="0.35">
      <c r="B38" s="127" t="s">
        <v>313</v>
      </c>
      <c r="C38" s="127"/>
      <c r="D38" s="127"/>
      <c r="E38" s="127" t="s">
        <v>314</v>
      </c>
      <c r="F38" s="127"/>
      <c r="G38" s="17" t="s">
        <v>315</v>
      </c>
    </row>
    <row r="39" spans="2:7" ht="24" customHeight="1" x14ac:dyDescent="0.35">
      <c r="B39" s="131" t="s">
        <v>316</v>
      </c>
      <c r="C39" s="131"/>
      <c r="D39" s="131"/>
      <c r="E39" s="125" t="s">
        <v>317</v>
      </c>
      <c r="F39" s="125"/>
      <c r="G39" s="69" t="s">
        <v>318</v>
      </c>
    </row>
    <row r="40" spans="2:7" ht="24" customHeight="1" x14ac:dyDescent="0.35">
      <c r="B40" s="132" t="s">
        <v>319</v>
      </c>
      <c r="C40" s="132"/>
      <c r="D40" s="132"/>
      <c r="E40" s="125" t="s">
        <v>320</v>
      </c>
      <c r="F40" s="125"/>
      <c r="G40" s="69" t="s">
        <v>318</v>
      </c>
    </row>
    <row r="41" spans="2:7" ht="24" customHeight="1" x14ac:dyDescent="0.35">
      <c r="B41" s="131" t="s">
        <v>321</v>
      </c>
      <c r="C41" s="131"/>
      <c r="D41" s="131"/>
      <c r="E41" s="125" t="s">
        <v>322</v>
      </c>
      <c r="F41" s="125"/>
      <c r="G41" s="69" t="s">
        <v>323</v>
      </c>
    </row>
    <row r="42" spans="2:7" ht="24" customHeight="1" x14ac:dyDescent="0.35">
      <c r="B42" s="132" t="s">
        <v>324</v>
      </c>
      <c r="C42" s="132"/>
      <c r="D42" s="132"/>
      <c r="E42" s="125" t="s">
        <v>325</v>
      </c>
      <c r="F42" s="125"/>
      <c r="G42" s="69" t="s">
        <v>326</v>
      </c>
    </row>
    <row r="43" spans="2:7" ht="24" customHeight="1" x14ac:dyDescent="0.35">
      <c r="B43" s="131" t="s">
        <v>327</v>
      </c>
      <c r="C43" s="131"/>
      <c r="D43" s="131"/>
      <c r="E43" s="125" t="s">
        <v>328</v>
      </c>
      <c r="F43" s="125"/>
      <c r="G43" s="69" t="s">
        <v>326</v>
      </c>
    </row>
    <row r="44" spans="2:7" ht="9.75" customHeight="1" x14ac:dyDescent="0.35"/>
    <row r="45" spans="2:7" ht="15.75" customHeight="1" x14ac:dyDescent="0.35">
      <c r="B45" s="112" t="s">
        <v>329</v>
      </c>
      <c r="C45" s="112"/>
      <c r="D45" s="112"/>
      <c r="E45" s="112"/>
      <c r="F45" s="112"/>
      <c r="G45" s="112"/>
    </row>
    <row r="46" spans="2:7" ht="15.75" customHeight="1" x14ac:dyDescent="0.35">
      <c r="B46" s="112" t="s">
        <v>330</v>
      </c>
      <c r="C46" s="112"/>
      <c r="D46" s="112"/>
      <c r="E46" s="112"/>
      <c r="F46" s="112"/>
      <c r="G46" s="112"/>
    </row>
    <row r="47" spans="2:7" ht="18" customHeight="1" x14ac:dyDescent="0.35">
      <c r="B47" s="133" t="s">
        <v>637</v>
      </c>
      <c r="C47" s="133"/>
      <c r="D47" s="133"/>
      <c r="E47" s="133"/>
      <c r="F47" s="133"/>
      <c r="G47" s="133"/>
    </row>
    <row r="48" spans="2:7" ht="18" customHeight="1" x14ac:dyDescent="0.35">
      <c r="B48" s="133"/>
      <c r="C48" s="133"/>
      <c r="D48" s="133"/>
      <c r="E48" s="133"/>
      <c r="F48" s="133"/>
      <c r="G48" s="133"/>
    </row>
    <row r="49" spans="2:7" ht="18" customHeight="1" x14ac:dyDescent="0.35">
      <c r="B49" s="133"/>
      <c r="C49" s="133"/>
      <c r="D49" s="133"/>
      <c r="E49" s="133"/>
      <c r="F49" s="133"/>
      <c r="G49" s="133"/>
    </row>
    <row r="50" spans="2:7" ht="18" customHeight="1" x14ac:dyDescent="0.35">
      <c r="B50" s="133"/>
      <c r="C50" s="133"/>
      <c r="D50" s="133"/>
      <c r="E50" s="133"/>
      <c r="F50" s="133"/>
      <c r="G50" s="133"/>
    </row>
    <row r="51" spans="2:7" ht="15.75" customHeight="1" x14ac:dyDescent="0.35">
      <c r="B51" s="112" t="s">
        <v>331</v>
      </c>
      <c r="C51" s="112"/>
      <c r="D51" s="112"/>
      <c r="E51" s="112"/>
      <c r="F51" s="112"/>
      <c r="G51" s="112"/>
    </row>
    <row r="52" spans="2:7" ht="18" customHeight="1" x14ac:dyDescent="0.35">
      <c r="B52" s="133" t="s">
        <v>638</v>
      </c>
      <c r="C52" s="133"/>
      <c r="D52" s="133"/>
      <c r="E52" s="133"/>
      <c r="F52" s="133"/>
      <c r="G52" s="133"/>
    </row>
    <row r="53" spans="2:7" ht="18" customHeight="1" x14ac:dyDescent="0.35">
      <c r="B53" s="133"/>
      <c r="C53" s="133"/>
      <c r="D53" s="133"/>
      <c r="E53" s="133"/>
      <c r="F53" s="133"/>
      <c r="G53" s="133"/>
    </row>
    <row r="54" spans="2:7" ht="18" customHeight="1" x14ac:dyDescent="0.35">
      <c r="B54" s="133"/>
      <c r="C54" s="133"/>
      <c r="D54" s="133"/>
      <c r="E54" s="133"/>
      <c r="F54" s="133"/>
      <c r="G54" s="133"/>
    </row>
    <row r="55" spans="2:7" ht="18" customHeight="1" x14ac:dyDescent="0.35">
      <c r="B55" s="133"/>
      <c r="C55" s="133"/>
      <c r="D55" s="133"/>
      <c r="E55" s="133"/>
      <c r="F55" s="133"/>
      <c r="G55" s="133"/>
    </row>
    <row r="56" spans="2:7" ht="15.75" customHeight="1" x14ac:dyDescent="0.35">
      <c r="B56" s="112" t="s">
        <v>332</v>
      </c>
      <c r="C56" s="112"/>
      <c r="D56" s="112"/>
      <c r="E56" s="112"/>
      <c r="F56" s="112"/>
      <c r="G56" s="112"/>
    </row>
    <row r="57" spans="2:7" ht="18" customHeight="1" x14ac:dyDescent="0.35">
      <c r="B57" s="133" t="s">
        <v>639</v>
      </c>
      <c r="C57" s="133"/>
      <c r="D57" s="133"/>
      <c r="E57" s="133"/>
      <c r="F57" s="133"/>
      <c r="G57" s="133"/>
    </row>
    <row r="58" spans="2:7" ht="18" customHeight="1" x14ac:dyDescent="0.35">
      <c r="B58" s="133"/>
      <c r="C58" s="133"/>
      <c r="D58" s="133"/>
      <c r="E58" s="133"/>
      <c r="F58" s="133"/>
      <c r="G58" s="133"/>
    </row>
    <row r="59" spans="2:7" ht="18" customHeight="1" x14ac:dyDescent="0.35">
      <c r="B59" s="133"/>
      <c r="C59" s="133"/>
      <c r="D59" s="133"/>
      <c r="E59" s="133"/>
      <c r="F59" s="133"/>
      <c r="G59" s="133"/>
    </row>
    <row r="60" spans="2:7" ht="18" customHeight="1" x14ac:dyDescent="0.35">
      <c r="B60" s="133"/>
      <c r="C60" s="133"/>
      <c r="D60" s="133"/>
      <c r="E60" s="133"/>
      <c r="F60" s="133"/>
      <c r="G60" s="133"/>
    </row>
    <row r="61" spans="2:7" ht="15.75" customHeight="1" x14ac:dyDescent="0.35">
      <c r="B61" s="112" t="s">
        <v>333</v>
      </c>
      <c r="C61" s="112"/>
      <c r="D61" s="112"/>
      <c r="E61" s="112"/>
      <c r="F61" s="112"/>
      <c r="G61" s="112"/>
    </row>
    <row r="62" spans="2:7" ht="18" customHeight="1" x14ac:dyDescent="0.35">
      <c r="B62" s="133" t="s">
        <v>640</v>
      </c>
      <c r="C62" s="133"/>
      <c r="D62" s="133"/>
      <c r="E62" s="133"/>
      <c r="F62" s="133"/>
      <c r="G62" s="133"/>
    </row>
    <row r="63" spans="2:7" ht="18" customHeight="1" x14ac:dyDescent="0.35">
      <c r="B63" s="133"/>
      <c r="C63" s="133"/>
      <c r="D63" s="133"/>
      <c r="E63" s="133"/>
      <c r="F63" s="133"/>
      <c r="G63" s="133"/>
    </row>
    <row r="64" spans="2:7" ht="18" customHeight="1" x14ac:dyDescent="0.35">
      <c r="B64" s="133"/>
      <c r="C64" s="133"/>
      <c r="D64" s="133"/>
      <c r="E64" s="133"/>
      <c r="F64" s="133"/>
      <c r="G64" s="133"/>
    </row>
    <row r="65" spans="2:7" ht="18" customHeight="1" x14ac:dyDescent="0.35">
      <c r="B65" s="133"/>
      <c r="C65" s="133"/>
      <c r="D65" s="133"/>
      <c r="E65" s="133"/>
      <c r="F65" s="133"/>
      <c r="G65" s="133"/>
    </row>
  </sheetData>
  <mergeCells count="31">
    <mergeCell ref="B56:G56"/>
    <mergeCell ref="B57:G60"/>
    <mergeCell ref="B61:G61"/>
    <mergeCell ref="B62:G65"/>
    <mergeCell ref="B45:G45"/>
    <mergeCell ref="B46:G46"/>
    <mergeCell ref="B47:G50"/>
    <mergeCell ref="B51:G51"/>
    <mergeCell ref="B52:G55"/>
    <mergeCell ref="B41:D41"/>
    <mergeCell ref="E41:F41"/>
    <mergeCell ref="B42:D42"/>
    <mergeCell ref="E42:F42"/>
    <mergeCell ref="B43:D43"/>
    <mergeCell ref="E43:F43"/>
    <mergeCell ref="B38:D38"/>
    <mergeCell ref="E38:F38"/>
    <mergeCell ref="B39:D39"/>
    <mergeCell ref="E39:F39"/>
    <mergeCell ref="B40:D40"/>
    <mergeCell ref="E40:F40"/>
    <mergeCell ref="B21:G21"/>
    <mergeCell ref="B22:G22"/>
    <mergeCell ref="B33:G33"/>
    <mergeCell ref="B34:G35"/>
    <mergeCell ref="B37:G37"/>
    <mergeCell ref="B1:G1"/>
    <mergeCell ref="B2:G2"/>
    <mergeCell ref="B4:G4"/>
    <mergeCell ref="B8:G8"/>
    <mergeCell ref="B19:C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61"/>
  <sheetViews>
    <sheetView showGridLines="0" topLeftCell="A3" zoomScaleNormal="100" workbookViewId="0">
      <selection activeCell="D65" sqref="D65"/>
    </sheetView>
  </sheetViews>
  <sheetFormatPr defaultColWidth="8.6328125" defaultRowHeight="14.5" x14ac:dyDescent="0.35"/>
  <cols>
    <col min="1" max="1" width="3" customWidth="1"/>
    <col min="2" max="2" width="16" customWidth="1"/>
    <col min="3" max="3" width="20" customWidth="1"/>
    <col min="4" max="5" width="8" customWidth="1"/>
    <col min="6" max="6" width="30" customWidth="1"/>
    <col min="7" max="7" width="5" customWidth="1"/>
  </cols>
  <sheetData>
    <row r="1" spans="2:6" ht="31.5" customHeight="1" x14ac:dyDescent="0.35">
      <c r="B1" s="116" t="s">
        <v>334</v>
      </c>
      <c r="C1" s="116"/>
      <c r="D1" s="116"/>
      <c r="E1" s="116"/>
      <c r="F1" s="116"/>
    </row>
    <row r="2" spans="2:6" ht="18" customHeight="1" x14ac:dyDescent="0.35">
      <c r="B2" s="128" t="s">
        <v>335</v>
      </c>
      <c r="C2" s="128"/>
      <c r="D2" s="128"/>
      <c r="E2" s="128"/>
      <c r="F2" s="128"/>
    </row>
    <row r="3" spans="2:6" ht="9.75" customHeight="1" x14ac:dyDescent="0.35"/>
    <row r="4" spans="2:6" ht="15.75" customHeight="1" x14ac:dyDescent="0.35">
      <c r="B4" s="112" t="s">
        <v>336</v>
      </c>
      <c r="C4" s="112"/>
      <c r="D4" s="112"/>
      <c r="E4" s="112"/>
      <c r="F4" s="112"/>
    </row>
    <row r="5" spans="2:6" ht="19.5" customHeight="1" x14ac:dyDescent="0.35">
      <c r="B5" s="134" t="s">
        <v>337</v>
      </c>
      <c r="C5" s="134"/>
      <c r="D5" s="134"/>
      <c r="E5" s="134"/>
      <c r="F5" s="134"/>
    </row>
    <row r="6" spans="2:6" ht="19.5" customHeight="1" x14ac:dyDescent="0.35">
      <c r="B6" s="134"/>
      <c r="C6" s="134"/>
      <c r="D6" s="134"/>
      <c r="E6" s="134"/>
      <c r="F6" s="134"/>
    </row>
    <row r="7" spans="2:6" ht="9.75" customHeight="1" x14ac:dyDescent="0.35"/>
    <row r="8" spans="2:6" ht="15.75" customHeight="1" x14ac:dyDescent="0.35">
      <c r="B8" s="112" t="s">
        <v>338</v>
      </c>
      <c r="C8" s="112"/>
      <c r="D8" s="112"/>
      <c r="E8" s="112"/>
      <c r="F8" s="112"/>
    </row>
    <row r="9" spans="2:6" ht="18" customHeight="1" x14ac:dyDescent="0.35">
      <c r="B9" s="70" t="s">
        <v>339</v>
      </c>
      <c r="C9" s="70" t="s">
        <v>340</v>
      </c>
      <c r="D9" s="70" t="s">
        <v>341</v>
      </c>
      <c r="E9" s="70" t="s">
        <v>342</v>
      </c>
      <c r="F9" s="70" t="s">
        <v>343</v>
      </c>
    </row>
    <row r="10" spans="2:6" ht="36" customHeight="1" x14ac:dyDescent="0.35">
      <c r="B10" s="28" t="s">
        <v>344</v>
      </c>
      <c r="C10" s="71" t="s">
        <v>345</v>
      </c>
      <c r="D10" s="71" t="s">
        <v>17</v>
      </c>
      <c r="E10" s="71" t="s">
        <v>346</v>
      </c>
      <c r="F10" s="71" t="s">
        <v>347</v>
      </c>
    </row>
    <row r="11" spans="2:6" ht="36" customHeight="1" x14ac:dyDescent="0.35">
      <c r="B11" s="28" t="s">
        <v>348</v>
      </c>
      <c r="C11" s="71" t="s">
        <v>349</v>
      </c>
      <c r="D11" s="71" t="s">
        <v>18</v>
      </c>
      <c r="E11" s="71" t="s">
        <v>350</v>
      </c>
      <c r="F11" s="71" t="s">
        <v>351</v>
      </c>
    </row>
    <row r="12" spans="2:6" ht="36" customHeight="1" x14ac:dyDescent="0.35">
      <c r="B12" s="21" t="s">
        <v>352</v>
      </c>
      <c r="C12" s="72" t="s">
        <v>353</v>
      </c>
      <c r="D12" s="72" t="s">
        <v>18</v>
      </c>
      <c r="E12" s="72" t="s">
        <v>346</v>
      </c>
      <c r="F12" s="72" t="s">
        <v>354</v>
      </c>
    </row>
    <row r="13" spans="2:6" ht="9.75" customHeight="1" x14ac:dyDescent="0.35"/>
    <row r="14" spans="2:6" ht="15.75" customHeight="1" x14ac:dyDescent="0.35">
      <c r="B14" s="112" t="s">
        <v>355</v>
      </c>
      <c r="C14" s="112"/>
      <c r="D14" s="112"/>
      <c r="E14" s="112"/>
      <c r="F14" s="112"/>
    </row>
    <row r="15" spans="2:6" ht="21.75" customHeight="1" x14ac:dyDescent="0.35">
      <c r="B15" s="114" t="s">
        <v>356</v>
      </c>
      <c r="C15" s="114"/>
      <c r="D15" s="114"/>
      <c r="E15" s="114"/>
      <c r="F15" s="114"/>
    </row>
    <row r="16" spans="2:6" ht="15.75" customHeight="1" x14ac:dyDescent="0.35">
      <c r="B16" s="1" t="s">
        <v>45</v>
      </c>
      <c r="C16" s="114" t="s">
        <v>357</v>
      </c>
      <c r="D16" s="114"/>
      <c r="E16" s="114"/>
      <c r="F16" s="114"/>
    </row>
    <row r="17" spans="2:6" ht="18" customHeight="1" x14ac:dyDescent="0.35">
      <c r="B17" s="2" t="s">
        <v>46</v>
      </c>
      <c r="C17" s="118" t="s">
        <v>29</v>
      </c>
      <c r="D17" s="118"/>
      <c r="E17" s="118"/>
      <c r="F17" s="118"/>
    </row>
    <row r="18" spans="2:6" ht="18" customHeight="1" x14ac:dyDescent="0.35">
      <c r="B18" s="2" t="s">
        <v>358</v>
      </c>
      <c r="C18" s="118" t="s">
        <v>657</v>
      </c>
      <c r="D18" s="118"/>
      <c r="E18" s="118"/>
      <c r="F18" s="118"/>
    </row>
    <row r="19" spans="2:6" ht="15.75" customHeight="1" x14ac:dyDescent="0.35">
      <c r="B19" s="2" t="s">
        <v>359</v>
      </c>
      <c r="C19" s="118" t="s">
        <v>504</v>
      </c>
      <c r="D19" s="118"/>
      <c r="E19" s="118"/>
      <c r="F19" s="118"/>
    </row>
    <row r="20" spans="2:6" ht="15.75" customHeight="1" x14ac:dyDescent="0.35">
      <c r="B20" s="2" t="s">
        <v>360</v>
      </c>
      <c r="C20" s="118">
        <v>4</v>
      </c>
      <c r="D20" s="118"/>
      <c r="E20" s="118"/>
      <c r="F20" s="118"/>
    </row>
    <row r="21" spans="2:6" ht="15.75" customHeight="1" x14ac:dyDescent="0.35">
      <c r="B21" s="2" t="s">
        <v>361</v>
      </c>
      <c r="C21" s="118">
        <v>5</v>
      </c>
      <c r="D21" s="118"/>
      <c r="E21" s="118"/>
      <c r="F21" s="118"/>
    </row>
    <row r="22" spans="2:6" ht="18" customHeight="1" x14ac:dyDescent="0.35">
      <c r="B22" s="2" t="s">
        <v>362</v>
      </c>
      <c r="C22" s="118" t="s">
        <v>658</v>
      </c>
      <c r="D22" s="118"/>
      <c r="E22" s="118"/>
      <c r="F22" s="118"/>
    </row>
    <row r="23" spans="2:6" ht="18" customHeight="1" x14ac:dyDescent="0.35">
      <c r="B23" s="2" t="s">
        <v>363</v>
      </c>
      <c r="C23" s="118" t="s">
        <v>659</v>
      </c>
      <c r="D23" s="118"/>
      <c r="E23" s="118"/>
      <c r="F23" s="118"/>
    </row>
    <row r="24" spans="2:6" ht="36" customHeight="1" x14ac:dyDescent="0.35">
      <c r="B24" s="2" t="s">
        <v>364</v>
      </c>
      <c r="C24" s="118" t="s">
        <v>660</v>
      </c>
      <c r="D24" s="118"/>
      <c r="E24" s="118"/>
      <c r="F24" s="118"/>
    </row>
    <row r="25" spans="2:6" ht="7.5" customHeight="1" x14ac:dyDescent="0.35"/>
    <row r="27" spans="2:6" ht="21.75" customHeight="1" x14ac:dyDescent="0.35">
      <c r="B27" s="114" t="s">
        <v>365</v>
      </c>
      <c r="C27" s="114"/>
      <c r="D27" s="114"/>
      <c r="E27" s="114"/>
      <c r="F27" s="114"/>
    </row>
    <row r="28" spans="2:6" ht="15.75" customHeight="1" x14ac:dyDescent="0.35">
      <c r="B28" s="1" t="s">
        <v>45</v>
      </c>
      <c r="C28" s="114" t="s">
        <v>357</v>
      </c>
      <c r="D28" s="114"/>
      <c r="E28" s="114"/>
      <c r="F28" s="114"/>
    </row>
    <row r="29" spans="2:6" ht="18" customHeight="1" x14ac:dyDescent="0.35">
      <c r="B29" s="2" t="s">
        <v>46</v>
      </c>
      <c r="C29" s="118" t="s">
        <v>29</v>
      </c>
      <c r="D29" s="118"/>
      <c r="E29" s="118"/>
      <c r="F29" s="118"/>
    </row>
    <row r="30" spans="2:6" ht="18" customHeight="1" x14ac:dyDescent="0.35">
      <c r="B30" s="2" t="s">
        <v>358</v>
      </c>
      <c r="C30" s="118" t="s">
        <v>661</v>
      </c>
      <c r="D30" s="118"/>
      <c r="E30" s="118"/>
      <c r="F30" s="118"/>
    </row>
    <row r="31" spans="2:6" ht="15.75" customHeight="1" x14ac:dyDescent="0.35">
      <c r="B31" s="2" t="s">
        <v>359</v>
      </c>
      <c r="C31" s="118" t="s">
        <v>346</v>
      </c>
      <c r="D31" s="118"/>
      <c r="E31" s="118"/>
      <c r="F31" s="118"/>
    </row>
    <row r="32" spans="2:6" ht="15.75" customHeight="1" x14ac:dyDescent="0.35">
      <c r="B32" s="2" t="s">
        <v>360</v>
      </c>
      <c r="C32" s="118">
        <v>4</v>
      </c>
      <c r="D32" s="118"/>
      <c r="E32" s="118"/>
      <c r="F32" s="118"/>
    </row>
    <row r="33" spans="2:6" ht="15.75" customHeight="1" x14ac:dyDescent="0.35">
      <c r="B33" s="2" t="s">
        <v>361</v>
      </c>
      <c r="C33" s="118">
        <v>5</v>
      </c>
      <c r="D33" s="118"/>
      <c r="E33" s="118"/>
      <c r="F33" s="118"/>
    </row>
    <row r="34" spans="2:6" ht="18" customHeight="1" x14ac:dyDescent="0.35">
      <c r="B34" s="2" t="s">
        <v>362</v>
      </c>
      <c r="C34" s="118" t="s">
        <v>662</v>
      </c>
      <c r="D34" s="118"/>
      <c r="E34" s="118"/>
      <c r="F34" s="118"/>
    </row>
    <row r="35" spans="2:6" ht="18" customHeight="1" x14ac:dyDescent="0.35">
      <c r="B35" s="2" t="s">
        <v>363</v>
      </c>
      <c r="C35" s="118" t="s">
        <v>663</v>
      </c>
      <c r="D35" s="118"/>
      <c r="E35" s="118"/>
      <c r="F35" s="118"/>
    </row>
    <row r="36" spans="2:6" ht="36" customHeight="1" x14ac:dyDescent="0.35">
      <c r="B36" s="2" t="s">
        <v>364</v>
      </c>
      <c r="C36" s="118" t="s">
        <v>664</v>
      </c>
      <c r="D36" s="118"/>
      <c r="E36" s="118"/>
      <c r="F36" s="118"/>
    </row>
    <row r="37" spans="2:6" ht="7.5" customHeight="1" x14ac:dyDescent="0.35"/>
    <row r="39" spans="2:6" ht="21.75" customHeight="1" x14ac:dyDescent="0.35">
      <c r="B39" s="127" t="s">
        <v>366</v>
      </c>
      <c r="C39" s="127"/>
      <c r="D39" s="127"/>
      <c r="E39" s="127"/>
      <c r="F39" s="127"/>
    </row>
    <row r="40" spans="2:6" ht="15.75" customHeight="1" x14ac:dyDescent="0.35">
      <c r="B40" s="17" t="s">
        <v>45</v>
      </c>
      <c r="C40" s="127" t="s">
        <v>357</v>
      </c>
      <c r="D40" s="127"/>
      <c r="E40" s="127"/>
      <c r="F40" s="127"/>
    </row>
    <row r="41" spans="2:6" ht="18" customHeight="1" x14ac:dyDescent="0.35">
      <c r="B41" s="2" t="s">
        <v>46</v>
      </c>
      <c r="C41" s="123" t="s">
        <v>30</v>
      </c>
      <c r="D41" s="118"/>
      <c r="E41" s="118"/>
      <c r="F41" s="118"/>
    </row>
    <row r="42" spans="2:6" ht="18" customHeight="1" x14ac:dyDescent="0.35">
      <c r="B42" s="2" t="s">
        <v>358</v>
      </c>
      <c r="C42" s="123" t="s">
        <v>665</v>
      </c>
      <c r="D42" s="118"/>
      <c r="E42" s="118"/>
      <c r="F42" s="118"/>
    </row>
    <row r="43" spans="2:6" ht="15.75" customHeight="1" x14ac:dyDescent="0.35">
      <c r="B43" s="2" t="s">
        <v>359</v>
      </c>
      <c r="C43" s="123" t="s">
        <v>508</v>
      </c>
      <c r="D43" s="118"/>
      <c r="E43" s="118"/>
      <c r="F43" s="118"/>
    </row>
    <row r="44" spans="2:6" ht="15.75" customHeight="1" x14ac:dyDescent="0.35">
      <c r="B44" s="2" t="s">
        <v>360</v>
      </c>
      <c r="C44" s="118">
        <v>3.5</v>
      </c>
      <c r="D44" s="118"/>
      <c r="E44" s="118"/>
      <c r="F44" s="118"/>
    </row>
    <row r="45" spans="2:6" ht="15.75" customHeight="1" x14ac:dyDescent="0.35">
      <c r="B45" s="2" t="s">
        <v>361</v>
      </c>
      <c r="C45" s="118">
        <v>5</v>
      </c>
      <c r="D45" s="118"/>
      <c r="E45" s="118"/>
      <c r="F45" s="118"/>
    </row>
    <row r="46" spans="2:6" ht="18" customHeight="1" x14ac:dyDescent="0.35">
      <c r="B46" s="2" t="s">
        <v>362</v>
      </c>
      <c r="C46" s="123" t="s">
        <v>666</v>
      </c>
      <c r="D46" s="118"/>
      <c r="E46" s="118"/>
      <c r="F46" s="118"/>
    </row>
    <row r="47" spans="2:6" ht="18" customHeight="1" x14ac:dyDescent="0.35">
      <c r="B47" s="2" t="s">
        <v>363</v>
      </c>
      <c r="C47" s="123" t="s">
        <v>667</v>
      </c>
      <c r="D47" s="118"/>
      <c r="E47" s="118"/>
      <c r="F47" s="118"/>
    </row>
    <row r="48" spans="2:6" ht="36" customHeight="1" x14ac:dyDescent="0.35">
      <c r="B48" s="2" t="s">
        <v>364</v>
      </c>
      <c r="C48" s="123" t="s">
        <v>668</v>
      </c>
      <c r="D48" s="118"/>
      <c r="E48" s="118"/>
      <c r="F48" s="118"/>
    </row>
    <row r="49" spans="2:6" ht="7.5" customHeight="1" x14ac:dyDescent="0.35"/>
    <row r="51" spans="2:6" ht="21.75" customHeight="1" x14ac:dyDescent="0.35">
      <c r="B51" s="127" t="s">
        <v>367</v>
      </c>
      <c r="C51" s="127"/>
      <c r="D51" s="127"/>
      <c r="E51" s="127"/>
      <c r="F51" s="127"/>
    </row>
    <row r="52" spans="2:6" ht="15.75" customHeight="1" x14ac:dyDescent="0.35">
      <c r="B52" s="17" t="s">
        <v>45</v>
      </c>
      <c r="C52" s="127" t="s">
        <v>357</v>
      </c>
      <c r="D52" s="127"/>
      <c r="E52" s="127"/>
      <c r="F52" s="127"/>
    </row>
    <row r="53" spans="2:6" ht="18" customHeight="1" x14ac:dyDescent="0.35">
      <c r="B53" s="2" t="s">
        <v>46</v>
      </c>
      <c r="C53" s="123" t="s">
        <v>30</v>
      </c>
      <c r="D53" s="118"/>
      <c r="E53" s="118"/>
      <c r="F53" s="118"/>
    </row>
    <row r="54" spans="2:6" ht="18" customHeight="1" x14ac:dyDescent="0.35">
      <c r="B54" s="2" t="s">
        <v>358</v>
      </c>
      <c r="C54" s="123" t="s">
        <v>669</v>
      </c>
      <c r="D54" s="118"/>
      <c r="E54" s="118"/>
      <c r="F54" s="118"/>
    </row>
    <row r="55" spans="2:6" ht="15.75" customHeight="1" x14ac:dyDescent="0.35">
      <c r="B55" s="2" t="s">
        <v>359</v>
      </c>
      <c r="C55" s="123" t="s">
        <v>522</v>
      </c>
      <c r="D55" s="118"/>
      <c r="E55" s="118"/>
      <c r="F55" s="118"/>
    </row>
    <row r="56" spans="2:6" ht="15.75" customHeight="1" x14ac:dyDescent="0.35">
      <c r="B56" s="2" t="s">
        <v>360</v>
      </c>
      <c r="C56" s="118">
        <v>3</v>
      </c>
      <c r="D56" s="118"/>
      <c r="E56" s="118"/>
      <c r="F56" s="118"/>
    </row>
    <row r="57" spans="2:6" ht="15.75" customHeight="1" x14ac:dyDescent="0.35">
      <c r="B57" s="2" t="s">
        <v>361</v>
      </c>
      <c r="C57" s="118">
        <v>5</v>
      </c>
      <c r="D57" s="118"/>
      <c r="E57" s="118"/>
      <c r="F57" s="118"/>
    </row>
    <row r="58" spans="2:6" ht="18" customHeight="1" x14ac:dyDescent="0.35">
      <c r="B58" s="2" t="s">
        <v>362</v>
      </c>
      <c r="C58" s="123" t="s">
        <v>670</v>
      </c>
      <c r="D58" s="118"/>
      <c r="E58" s="118"/>
      <c r="F58" s="118"/>
    </row>
    <row r="59" spans="2:6" ht="18" customHeight="1" x14ac:dyDescent="0.35">
      <c r="B59" s="2" t="s">
        <v>363</v>
      </c>
      <c r="C59" s="123" t="s">
        <v>671</v>
      </c>
      <c r="D59" s="118"/>
      <c r="E59" s="118"/>
      <c r="F59" s="118"/>
    </row>
    <row r="60" spans="2:6" ht="36" customHeight="1" x14ac:dyDescent="0.35">
      <c r="B60" s="2" t="s">
        <v>364</v>
      </c>
      <c r="C60" s="123" t="s">
        <v>672</v>
      </c>
      <c r="D60" s="118"/>
      <c r="E60" s="118"/>
      <c r="F60" s="118"/>
    </row>
    <row r="61" spans="2:6" ht="7.5" customHeight="1" x14ac:dyDescent="0.35"/>
  </sheetData>
  <mergeCells count="46">
    <mergeCell ref="C60:F60"/>
    <mergeCell ref="C55:F55"/>
    <mergeCell ref="C56:F56"/>
    <mergeCell ref="C57:F57"/>
    <mergeCell ref="C58:F58"/>
    <mergeCell ref="C59:F59"/>
    <mergeCell ref="C48:F48"/>
    <mergeCell ref="B51:F51"/>
    <mergeCell ref="C52:F52"/>
    <mergeCell ref="C53:F53"/>
    <mergeCell ref="C54:F54"/>
    <mergeCell ref="C43:F43"/>
    <mergeCell ref="C44:F44"/>
    <mergeCell ref="C45:F45"/>
    <mergeCell ref="C46:F46"/>
    <mergeCell ref="C47:F47"/>
    <mergeCell ref="C36:F36"/>
    <mergeCell ref="B39:F39"/>
    <mergeCell ref="C40:F40"/>
    <mergeCell ref="C41:F41"/>
    <mergeCell ref="C42:F42"/>
    <mergeCell ref="C31:F31"/>
    <mergeCell ref="C32:F32"/>
    <mergeCell ref="C33:F33"/>
    <mergeCell ref="C34:F34"/>
    <mergeCell ref="C35:F35"/>
    <mergeCell ref="C24:F24"/>
    <mergeCell ref="B27:F27"/>
    <mergeCell ref="C28:F28"/>
    <mergeCell ref="C29:F29"/>
    <mergeCell ref="C30:F30"/>
    <mergeCell ref="C19:F19"/>
    <mergeCell ref="C20:F20"/>
    <mergeCell ref="C21:F21"/>
    <mergeCell ref="C22:F22"/>
    <mergeCell ref="C23:F23"/>
    <mergeCell ref="B14:F14"/>
    <mergeCell ref="B15:F15"/>
    <mergeCell ref="C16:F16"/>
    <mergeCell ref="C17:F17"/>
    <mergeCell ref="C18:F18"/>
    <mergeCell ref="B1:F1"/>
    <mergeCell ref="B2:F2"/>
    <mergeCell ref="B4:F4"/>
    <mergeCell ref="B5:F6"/>
    <mergeCell ref="B8:F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1"/>
  <sheetViews>
    <sheetView showGridLines="0" topLeftCell="A22" zoomScaleNormal="100" workbookViewId="0"/>
  </sheetViews>
  <sheetFormatPr defaultColWidth="8.6328125" defaultRowHeight="14.5" x14ac:dyDescent="0.35"/>
  <cols>
    <col min="1" max="1" width="3" customWidth="1"/>
    <col min="2" max="2" width="8" customWidth="1"/>
    <col min="3" max="3" width="30" customWidth="1"/>
    <col min="4" max="4" width="36" customWidth="1"/>
    <col min="5" max="5" width="14" customWidth="1"/>
    <col min="6" max="6" width="5" customWidth="1"/>
  </cols>
  <sheetData>
    <row r="1" spans="2:5" ht="31.5" customHeight="1" x14ac:dyDescent="0.35">
      <c r="B1" s="116" t="s">
        <v>368</v>
      </c>
      <c r="C1" s="116"/>
      <c r="D1" s="116"/>
      <c r="E1" s="116"/>
    </row>
    <row r="2" spans="2:5" ht="18" customHeight="1" x14ac:dyDescent="0.35">
      <c r="B2" s="117" t="s">
        <v>369</v>
      </c>
      <c r="C2" s="117"/>
      <c r="D2" s="117"/>
      <c r="E2" s="117"/>
    </row>
    <row r="3" spans="2:5" ht="9.75" customHeight="1" x14ac:dyDescent="0.35"/>
    <row r="4" spans="2:5" ht="19.5" customHeight="1" x14ac:dyDescent="0.35">
      <c r="B4" s="18" t="s">
        <v>370</v>
      </c>
      <c r="C4" s="18" t="s">
        <v>371</v>
      </c>
      <c r="D4" s="18" t="s">
        <v>372</v>
      </c>
      <c r="E4" s="18" t="s">
        <v>373</v>
      </c>
    </row>
    <row r="5" spans="2:5" ht="36" customHeight="1" x14ac:dyDescent="0.35">
      <c r="B5" s="22" t="s">
        <v>57</v>
      </c>
      <c r="C5" s="22" t="s">
        <v>374</v>
      </c>
      <c r="D5" s="23" t="s">
        <v>375</v>
      </c>
      <c r="E5" s="23" t="s">
        <v>376</v>
      </c>
    </row>
    <row r="6" spans="2:5" ht="36" customHeight="1" x14ac:dyDescent="0.35">
      <c r="B6" s="33" t="s">
        <v>60</v>
      </c>
      <c r="C6" s="33" t="s">
        <v>377</v>
      </c>
      <c r="D6" s="19" t="s">
        <v>378</v>
      </c>
      <c r="E6" s="19" t="s">
        <v>379</v>
      </c>
    </row>
    <row r="7" spans="2:5" ht="36" customHeight="1" x14ac:dyDescent="0.35">
      <c r="B7" s="30" t="s">
        <v>62</v>
      </c>
      <c r="C7" s="30" t="s">
        <v>380</v>
      </c>
      <c r="D7" s="31" t="s">
        <v>381</v>
      </c>
      <c r="E7" s="31" t="s">
        <v>382</v>
      </c>
    </row>
    <row r="8" spans="2:5" ht="36" customHeight="1" x14ac:dyDescent="0.35">
      <c r="B8" s="33" t="s">
        <v>64</v>
      </c>
      <c r="C8" s="33" t="s">
        <v>383</v>
      </c>
      <c r="D8" s="19" t="s">
        <v>384</v>
      </c>
      <c r="E8" s="19" t="s">
        <v>385</v>
      </c>
    </row>
    <row r="9" spans="2:5" ht="36" customHeight="1" x14ac:dyDescent="0.35">
      <c r="B9" s="30" t="s">
        <v>67</v>
      </c>
      <c r="C9" s="30" t="s">
        <v>386</v>
      </c>
      <c r="D9" s="31" t="s">
        <v>387</v>
      </c>
      <c r="E9" s="31" t="s">
        <v>388</v>
      </c>
    </row>
    <row r="10" spans="2:5" ht="36" customHeight="1" x14ac:dyDescent="0.35">
      <c r="B10" s="33" t="s">
        <v>69</v>
      </c>
      <c r="C10" s="33" t="s">
        <v>318</v>
      </c>
      <c r="D10" s="19" t="s">
        <v>389</v>
      </c>
      <c r="E10" s="19" t="s">
        <v>390</v>
      </c>
    </row>
    <row r="11" spans="2:5" ht="36" customHeight="1" x14ac:dyDescent="0.35">
      <c r="B11" s="22" t="s">
        <v>391</v>
      </c>
      <c r="C11" s="22" t="s">
        <v>323</v>
      </c>
      <c r="D11" s="23" t="s">
        <v>392</v>
      </c>
      <c r="E11" s="23" t="s">
        <v>388</v>
      </c>
    </row>
    <row r="12" spans="2:5" ht="9.75" customHeight="1" x14ac:dyDescent="0.35"/>
    <row r="13" spans="2:5" ht="15.75" customHeight="1" x14ac:dyDescent="0.35">
      <c r="B13" s="112" t="s">
        <v>393</v>
      </c>
      <c r="C13" s="112"/>
      <c r="D13" s="112"/>
      <c r="E13" s="112"/>
    </row>
    <row r="14" spans="2:5" ht="18" customHeight="1" x14ac:dyDescent="0.35">
      <c r="B14" s="70" t="s">
        <v>394</v>
      </c>
      <c r="C14" s="70" t="s">
        <v>395</v>
      </c>
      <c r="D14" s="70" t="s">
        <v>396</v>
      </c>
      <c r="E14" s="70"/>
    </row>
    <row r="15" spans="2:5" ht="27.75" customHeight="1" x14ac:dyDescent="0.35">
      <c r="B15" s="73" t="s">
        <v>397</v>
      </c>
      <c r="C15" s="31" t="s">
        <v>398</v>
      </c>
      <c r="D15" s="135" t="s">
        <v>399</v>
      </c>
      <c r="E15" s="135"/>
    </row>
    <row r="16" spans="2:5" ht="27.75" customHeight="1" x14ac:dyDescent="0.35">
      <c r="B16" s="73" t="s">
        <v>400</v>
      </c>
      <c r="C16" s="19" t="s">
        <v>401</v>
      </c>
      <c r="D16" s="135" t="s">
        <v>402</v>
      </c>
      <c r="E16" s="135"/>
    </row>
    <row r="17" spans="2:5" ht="27.75" customHeight="1" x14ac:dyDescent="0.35">
      <c r="B17" s="73" t="s">
        <v>403</v>
      </c>
      <c r="C17" s="31" t="s">
        <v>404</v>
      </c>
      <c r="D17" s="135" t="s">
        <v>405</v>
      </c>
      <c r="E17" s="135"/>
    </row>
    <row r="18" spans="2:5" ht="27.75" customHeight="1" x14ac:dyDescent="0.35">
      <c r="B18" s="73" t="s">
        <v>406</v>
      </c>
      <c r="C18" s="19" t="s">
        <v>407</v>
      </c>
      <c r="D18" s="135" t="s">
        <v>408</v>
      </c>
      <c r="E18" s="135"/>
    </row>
    <row r="19" spans="2:5" ht="27.75" customHeight="1" x14ac:dyDescent="0.35">
      <c r="B19" s="73" t="s">
        <v>409</v>
      </c>
      <c r="C19" s="31" t="s">
        <v>410</v>
      </c>
      <c r="D19" s="135" t="s">
        <v>411</v>
      </c>
      <c r="E19" s="135"/>
    </row>
    <row r="20" spans="2:5" ht="27.75" customHeight="1" x14ac:dyDescent="0.35">
      <c r="B20" s="73" t="s">
        <v>412</v>
      </c>
      <c r="C20" s="19" t="s">
        <v>413</v>
      </c>
      <c r="D20" s="135" t="s">
        <v>414</v>
      </c>
      <c r="E20" s="135"/>
    </row>
    <row r="21" spans="2:5" ht="27.75" customHeight="1" x14ac:dyDescent="0.35">
      <c r="B21" s="73" t="s">
        <v>415</v>
      </c>
      <c r="C21" s="31" t="s">
        <v>416</v>
      </c>
      <c r="D21" s="135" t="s">
        <v>417</v>
      </c>
      <c r="E21" s="135"/>
    </row>
  </sheetData>
  <mergeCells count="10">
    <mergeCell ref="D17:E17"/>
    <mergeCell ref="D18:E18"/>
    <mergeCell ref="D19:E19"/>
    <mergeCell ref="D20:E20"/>
    <mergeCell ref="D21:E21"/>
    <mergeCell ref="B1:E1"/>
    <mergeCell ref="B2:E2"/>
    <mergeCell ref="B13:E13"/>
    <mergeCell ref="D15:E15"/>
    <mergeCell ref="D16:E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36"/>
  <sheetViews>
    <sheetView showGridLines="0" zoomScaleNormal="100" workbookViewId="0"/>
  </sheetViews>
  <sheetFormatPr defaultColWidth="8.6328125" defaultRowHeight="14.5" x14ac:dyDescent="0.35"/>
  <cols>
    <col min="1" max="1" width="3" customWidth="1"/>
    <col min="2" max="2" width="22" customWidth="1"/>
    <col min="3" max="3" width="8" customWidth="1"/>
    <col min="4" max="7" width="20" customWidth="1"/>
    <col min="8" max="8" width="5" customWidth="1"/>
  </cols>
  <sheetData>
    <row r="1" spans="2:7" ht="31.5" customHeight="1" x14ac:dyDescent="0.35">
      <c r="B1" s="116" t="s">
        <v>418</v>
      </c>
      <c r="C1" s="116"/>
      <c r="D1" s="116"/>
      <c r="E1" s="116"/>
      <c r="F1" s="116"/>
      <c r="G1" s="116"/>
    </row>
    <row r="2" spans="2:7" ht="18" customHeight="1" x14ac:dyDescent="0.35">
      <c r="B2" s="117" t="s">
        <v>419</v>
      </c>
      <c r="C2" s="117"/>
      <c r="D2" s="117"/>
      <c r="E2" s="117"/>
      <c r="F2" s="117"/>
      <c r="G2" s="117"/>
    </row>
    <row r="3" spans="2:7" ht="9.75" customHeight="1" x14ac:dyDescent="0.35"/>
    <row r="4" spans="2:7" ht="15.75" customHeight="1" x14ac:dyDescent="0.35">
      <c r="B4" s="112" t="s">
        <v>420</v>
      </c>
      <c r="C4" s="112"/>
      <c r="D4" s="112"/>
      <c r="E4" s="112"/>
      <c r="F4" s="112"/>
      <c r="G4" s="112"/>
    </row>
    <row r="5" spans="2:7" ht="24" customHeight="1" x14ac:dyDescent="0.35">
      <c r="B5" s="18" t="s">
        <v>421</v>
      </c>
      <c r="C5" s="18" t="s">
        <v>422</v>
      </c>
      <c r="D5" s="18" t="s">
        <v>256</v>
      </c>
      <c r="E5" s="18" t="s">
        <v>423</v>
      </c>
      <c r="F5" s="18" t="s">
        <v>424</v>
      </c>
      <c r="G5" s="18" t="s">
        <v>425</v>
      </c>
    </row>
    <row r="6" spans="2:7" ht="48" customHeight="1" x14ac:dyDescent="0.35">
      <c r="B6" s="22" t="s">
        <v>426</v>
      </c>
      <c r="C6" s="22">
        <v>3</v>
      </c>
      <c r="D6" s="22" t="s">
        <v>427</v>
      </c>
      <c r="E6" s="20" t="s">
        <v>428</v>
      </c>
      <c r="F6" s="25" t="s">
        <v>429</v>
      </c>
      <c r="G6" s="29" t="s">
        <v>430</v>
      </c>
    </row>
    <row r="7" spans="2:7" ht="48" customHeight="1" x14ac:dyDescent="0.35">
      <c r="B7" s="21" t="s">
        <v>431</v>
      </c>
      <c r="C7" s="21">
        <v>3</v>
      </c>
      <c r="D7" s="21" t="s">
        <v>427</v>
      </c>
      <c r="E7" s="20" t="s">
        <v>432</v>
      </c>
      <c r="F7" s="25" t="s">
        <v>433</v>
      </c>
      <c r="G7" s="29" t="s">
        <v>434</v>
      </c>
    </row>
    <row r="8" spans="2:7" ht="48" customHeight="1" x14ac:dyDescent="0.35">
      <c r="B8" s="24" t="s">
        <v>435</v>
      </c>
      <c r="C8" s="24">
        <v>2</v>
      </c>
      <c r="D8" s="24" t="s">
        <v>436</v>
      </c>
      <c r="E8" s="20" t="s">
        <v>437</v>
      </c>
      <c r="F8" s="25" t="s">
        <v>438</v>
      </c>
      <c r="G8" s="29" t="s">
        <v>439</v>
      </c>
    </row>
    <row r="9" spans="2:7" ht="48" customHeight="1" x14ac:dyDescent="0.35">
      <c r="B9" s="74" t="s">
        <v>440</v>
      </c>
      <c r="C9" s="74">
        <v>3</v>
      </c>
      <c r="D9" s="74" t="s">
        <v>427</v>
      </c>
      <c r="E9" s="20" t="s">
        <v>441</v>
      </c>
      <c r="F9" s="25" t="s">
        <v>442</v>
      </c>
      <c r="G9" s="29" t="s">
        <v>443</v>
      </c>
    </row>
    <row r="10" spans="2:7" ht="48" customHeight="1" x14ac:dyDescent="0.35">
      <c r="B10" s="30" t="s">
        <v>444</v>
      </c>
      <c r="C10" s="30">
        <v>2</v>
      </c>
      <c r="D10" s="30" t="s">
        <v>436</v>
      </c>
      <c r="E10" s="20" t="s">
        <v>445</v>
      </c>
      <c r="F10" s="25" t="s">
        <v>446</v>
      </c>
      <c r="G10" s="29" t="s">
        <v>447</v>
      </c>
    </row>
    <row r="11" spans="2:7" ht="48" customHeight="1" x14ac:dyDescent="0.35">
      <c r="B11" s="33" t="s">
        <v>448</v>
      </c>
      <c r="C11" s="33">
        <v>1</v>
      </c>
      <c r="D11" s="33" t="s">
        <v>449</v>
      </c>
      <c r="E11" s="20" t="s">
        <v>450</v>
      </c>
      <c r="F11" s="25" t="s">
        <v>451</v>
      </c>
      <c r="G11" s="29" t="s">
        <v>452</v>
      </c>
    </row>
    <row r="12" spans="2:7" ht="48" customHeight="1" x14ac:dyDescent="0.35">
      <c r="B12" s="22" t="s">
        <v>453</v>
      </c>
      <c r="C12" s="22">
        <v>1</v>
      </c>
      <c r="D12" s="22" t="s">
        <v>449</v>
      </c>
      <c r="E12" s="20" t="s">
        <v>454</v>
      </c>
      <c r="F12" s="25" t="s">
        <v>455</v>
      </c>
      <c r="G12" s="29" t="s">
        <v>456</v>
      </c>
    </row>
    <row r="13" spans="2:7" ht="24" customHeight="1" x14ac:dyDescent="0.35">
      <c r="B13" s="136" t="s">
        <v>457</v>
      </c>
      <c r="C13" s="136"/>
      <c r="D13" s="136"/>
      <c r="E13" s="75">
        <f>SUM(C6:C12)</f>
        <v>15</v>
      </c>
      <c r="F13" s="136" t="s">
        <v>458</v>
      </c>
      <c r="G13" s="136"/>
    </row>
    <row r="14" spans="2:7" ht="9.75" customHeight="1" x14ac:dyDescent="0.35"/>
    <row r="15" spans="2:7" ht="15.75" customHeight="1" x14ac:dyDescent="0.35">
      <c r="B15" s="112" t="s">
        <v>459</v>
      </c>
      <c r="C15" s="112"/>
      <c r="D15" s="112"/>
      <c r="E15" s="112"/>
      <c r="F15" s="112"/>
      <c r="G15" s="112"/>
    </row>
    <row r="16" spans="2:7" ht="18" customHeight="1" x14ac:dyDescent="0.35">
      <c r="B16" s="18" t="s">
        <v>422</v>
      </c>
      <c r="C16" s="18" t="s">
        <v>460</v>
      </c>
      <c r="D16" s="18" t="s">
        <v>461</v>
      </c>
      <c r="E16" s="18"/>
      <c r="F16" s="18"/>
      <c r="G16" s="18"/>
    </row>
    <row r="17" spans="2:7" ht="24" customHeight="1" x14ac:dyDescent="0.35">
      <c r="B17" s="76" t="s">
        <v>462</v>
      </c>
      <c r="C17" s="21" t="s">
        <v>463</v>
      </c>
      <c r="D17" s="137" t="s">
        <v>464</v>
      </c>
      <c r="E17" s="137"/>
      <c r="F17" s="137"/>
      <c r="G17" s="137"/>
    </row>
    <row r="18" spans="2:7" ht="24" customHeight="1" x14ac:dyDescent="0.35">
      <c r="B18" s="77" t="s">
        <v>465</v>
      </c>
      <c r="C18" s="22" t="s">
        <v>466</v>
      </c>
      <c r="D18" s="138" t="s">
        <v>467</v>
      </c>
      <c r="E18" s="138"/>
      <c r="F18" s="138"/>
      <c r="G18" s="138"/>
    </row>
    <row r="19" spans="2:7" ht="24" customHeight="1" x14ac:dyDescent="0.35">
      <c r="B19" s="78" t="s">
        <v>468</v>
      </c>
      <c r="C19" s="24" t="s">
        <v>469</v>
      </c>
      <c r="D19" s="139" t="s">
        <v>470</v>
      </c>
      <c r="E19" s="139"/>
      <c r="F19" s="139"/>
      <c r="G19" s="139"/>
    </row>
    <row r="20" spans="2:7" ht="24" customHeight="1" x14ac:dyDescent="0.35">
      <c r="B20" s="79" t="s">
        <v>471</v>
      </c>
      <c r="C20" s="26" t="s">
        <v>472</v>
      </c>
      <c r="D20" s="140" t="s">
        <v>473</v>
      </c>
      <c r="E20" s="140"/>
      <c r="F20" s="140"/>
      <c r="G20" s="140"/>
    </row>
    <row r="21" spans="2:7" ht="24" customHeight="1" x14ac:dyDescent="0.35">
      <c r="B21" s="80" t="s">
        <v>474</v>
      </c>
      <c r="C21" s="28" t="s">
        <v>475</v>
      </c>
      <c r="D21" s="141" t="s">
        <v>476</v>
      </c>
      <c r="E21" s="141"/>
      <c r="F21" s="141"/>
      <c r="G21" s="141"/>
    </row>
    <row r="22" spans="2:7" ht="9.75" customHeight="1" x14ac:dyDescent="0.35"/>
    <row r="23" spans="2:7" ht="15.75" customHeight="1" x14ac:dyDescent="0.35">
      <c r="B23" s="112" t="s">
        <v>477</v>
      </c>
      <c r="C23" s="112"/>
      <c r="D23" s="112"/>
      <c r="E23" s="112"/>
      <c r="F23" s="112"/>
      <c r="G23" s="112"/>
    </row>
    <row r="24" spans="2:7" ht="18" customHeight="1" x14ac:dyDescent="0.35">
      <c r="B24" s="18" t="s">
        <v>53</v>
      </c>
      <c r="C24" s="142" t="s">
        <v>189</v>
      </c>
      <c r="D24" s="142"/>
      <c r="E24" s="18"/>
      <c r="F24" s="18" t="s">
        <v>478</v>
      </c>
      <c r="G24" s="18" t="s">
        <v>422</v>
      </c>
    </row>
    <row r="25" spans="2:7" ht="19.5" customHeight="1" x14ac:dyDescent="0.35">
      <c r="B25" s="52" t="s">
        <v>57</v>
      </c>
      <c r="C25" s="126" t="s">
        <v>479</v>
      </c>
      <c r="D25" s="126"/>
      <c r="E25" s="126"/>
      <c r="F25" s="53"/>
      <c r="G25" s="53"/>
    </row>
    <row r="26" spans="2:7" ht="19.5" customHeight="1" x14ac:dyDescent="0.35">
      <c r="B26" s="55" t="s">
        <v>60</v>
      </c>
      <c r="C26" s="125" t="s">
        <v>480</v>
      </c>
      <c r="D26" s="125"/>
      <c r="E26" s="125"/>
      <c r="F26" s="53"/>
      <c r="G26" s="53"/>
    </row>
    <row r="27" spans="2:7" ht="19.5" customHeight="1" x14ac:dyDescent="0.35">
      <c r="B27" s="52" t="s">
        <v>62</v>
      </c>
      <c r="C27" s="126" t="s">
        <v>481</v>
      </c>
      <c r="D27" s="126"/>
      <c r="E27" s="126"/>
      <c r="F27" s="53"/>
      <c r="G27" s="53"/>
    </row>
    <row r="28" spans="2:7" ht="19.5" customHeight="1" x14ac:dyDescent="0.35">
      <c r="B28" s="55" t="s">
        <v>64</v>
      </c>
      <c r="C28" s="125" t="s">
        <v>482</v>
      </c>
      <c r="D28" s="125"/>
      <c r="E28" s="125"/>
      <c r="F28" s="53"/>
      <c r="G28" s="53"/>
    </row>
    <row r="29" spans="2:7" ht="19.5" customHeight="1" x14ac:dyDescent="0.35">
      <c r="B29" s="52" t="s">
        <v>67</v>
      </c>
      <c r="C29" s="126" t="s">
        <v>483</v>
      </c>
      <c r="D29" s="126"/>
      <c r="E29" s="126"/>
      <c r="F29" s="53"/>
      <c r="G29" s="53"/>
    </row>
    <row r="30" spans="2:7" ht="19.5" customHeight="1" x14ac:dyDescent="0.35">
      <c r="B30" s="55" t="s">
        <v>69</v>
      </c>
      <c r="C30" s="125" t="s">
        <v>484</v>
      </c>
      <c r="D30" s="125"/>
      <c r="E30" s="125"/>
      <c r="F30" s="53"/>
      <c r="G30" s="53"/>
    </row>
    <row r="31" spans="2:7" ht="19.5" customHeight="1" x14ac:dyDescent="0.35">
      <c r="B31" s="52" t="s">
        <v>391</v>
      </c>
      <c r="C31" s="126" t="s">
        <v>485</v>
      </c>
      <c r="D31" s="126"/>
      <c r="E31" s="126"/>
      <c r="F31" s="53"/>
      <c r="G31" s="53"/>
    </row>
    <row r="32" spans="2:7" ht="19.5" customHeight="1" x14ac:dyDescent="0.35">
      <c r="B32" s="55" t="s">
        <v>486</v>
      </c>
      <c r="C32" s="125" t="s">
        <v>487</v>
      </c>
      <c r="D32" s="125"/>
      <c r="E32" s="125"/>
      <c r="F32" s="53"/>
      <c r="G32" s="53"/>
    </row>
    <row r="33" spans="2:7" ht="19.5" customHeight="1" x14ac:dyDescent="0.35">
      <c r="B33" s="52" t="s">
        <v>488</v>
      </c>
      <c r="C33" s="126" t="s">
        <v>489</v>
      </c>
      <c r="D33" s="126"/>
      <c r="E33" s="126"/>
      <c r="F33" s="53"/>
      <c r="G33" s="53"/>
    </row>
    <row r="34" spans="2:7" ht="19.5" customHeight="1" x14ac:dyDescent="0.35">
      <c r="B34" s="55" t="s">
        <v>490</v>
      </c>
      <c r="C34" s="125" t="s">
        <v>491</v>
      </c>
      <c r="D34" s="125"/>
      <c r="E34" s="125"/>
      <c r="F34" s="53"/>
      <c r="G34" s="53"/>
    </row>
    <row r="35" spans="2:7" ht="19.5" customHeight="1" x14ac:dyDescent="0.35">
      <c r="B35" s="52" t="s">
        <v>492</v>
      </c>
      <c r="C35" s="126" t="s">
        <v>493</v>
      </c>
      <c r="D35" s="126"/>
      <c r="E35" s="126"/>
      <c r="F35" s="53"/>
      <c r="G35" s="53"/>
    </row>
    <row r="36" spans="2:7" ht="19.5" customHeight="1" x14ac:dyDescent="0.35">
      <c r="B36" s="55" t="s">
        <v>494</v>
      </c>
      <c r="C36" s="125" t="s">
        <v>495</v>
      </c>
      <c r="D36" s="125"/>
      <c r="E36" s="125"/>
      <c r="F36" s="53"/>
      <c r="G36" s="53"/>
    </row>
  </sheetData>
  <mergeCells count="25">
    <mergeCell ref="C32:E32"/>
    <mergeCell ref="C33:E33"/>
    <mergeCell ref="C34:E34"/>
    <mergeCell ref="C35:E35"/>
    <mergeCell ref="C36:E36"/>
    <mergeCell ref="C27:E27"/>
    <mergeCell ref="C28:E28"/>
    <mergeCell ref="C29:E29"/>
    <mergeCell ref="C30:E30"/>
    <mergeCell ref="C31:E31"/>
    <mergeCell ref="D21:G21"/>
    <mergeCell ref="B23:G23"/>
    <mergeCell ref="C24:D24"/>
    <mergeCell ref="C25:E25"/>
    <mergeCell ref="C26:E26"/>
    <mergeCell ref="B15:G15"/>
    <mergeCell ref="D17:G17"/>
    <mergeCell ref="D18:G18"/>
    <mergeCell ref="D19:G19"/>
    <mergeCell ref="D20:G20"/>
    <mergeCell ref="B1:G1"/>
    <mergeCell ref="B2:G2"/>
    <mergeCell ref="B4:G4"/>
    <mergeCell ref="B13:D13"/>
    <mergeCell ref="F13:G1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26"/>
  <sheetViews>
    <sheetView showGridLines="0" zoomScale="30" zoomScaleNormal="100" workbookViewId="0"/>
  </sheetViews>
  <sheetFormatPr defaultColWidth="8.6328125" defaultRowHeight="14.5" x14ac:dyDescent="0.35"/>
  <cols>
    <col min="1" max="1" width="3" customWidth="1"/>
    <col min="2" max="2" width="5" customWidth="1"/>
    <col min="3" max="3" width="22" customWidth="1"/>
    <col min="4" max="5" width="20" customWidth="1"/>
    <col min="6" max="6" width="8" customWidth="1"/>
    <col min="7" max="7" width="22" customWidth="1"/>
    <col min="8" max="8" width="5" customWidth="1"/>
  </cols>
  <sheetData>
    <row r="1" spans="2:7" ht="31.5" customHeight="1" x14ac:dyDescent="0.35">
      <c r="B1" s="116" t="s">
        <v>496</v>
      </c>
      <c r="C1" s="116"/>
      <c r="D1" s="116"/>
      <c r="E1" s="116"/>
      <c r="F1" s="116"/>
      <c r="G1" s="116"/>
    </row>
    <row r="2" spans="2:7" ht="7.5" customHeight="1" x14ac:dyDescent="0.35"/>
    <row r="3" spans="2:7" ht="21.75" customHeight="1" x14ac:dyDescent="0.35">
      <c r="B3" s="18" t="s">
        <v>53</v>
      </c>
      <c r="C3" s="18" t="s">
        <v>306</v>
      </c>
      <c r="D3" s="18" t="s">
        <v>497</v>
      </c>
      <c r="E3" s="18" t="s">
        <v>498</v>
      </c>
      <c r="F3" s="18" t="s">
        <v>256</v>
      </c>
      <c r="G3" s="18" t="s">
        <v>499</v>
      </c>
    </row>
    <row r="4" spans="2:7" ht="42" customHeight="1" x14ac:dyDescent="0.35">
      <c r="B4" s="81">
        <v>1</v>
      </c>
      <c r="C4" s="82" t="s">
        <v>500</v>
      </c>
      <c r="D4" s="83" t="s">
        <v>501</v>
      </c>
      <c r="E4" s="22" t="s">
        <v>502</v>
      </c>
      <c r="F4" s="84" t="s">
        <v>260</v>
      </c>
      <c r="G4" s="19" t="s">
        <v>503</v>
      </c>
    </row>
    <row r="5" spans="2:7" ht="42" customHeight="1" x14ac:dyDescent="0.35">
      <c r="B5" s="85">
        <v>2</v>
      </c>
      <c r="C5" s="86" t="s">
        <v>504</v>
      </c>
      <c r="D5" s="87" t="s">
        <v>505</v>
      </c>
      <c r="E5" s="33" t="s">
        <v>506</v>
      </c>
      <c r="F5" s="88" t="s">
        <v>262</v>
      </c>
      <c r="G5" s="19" t="s">
        <v>507</v>
      </c>
    </row>
    <row r="6" spans="2:7" ht="42" customHeight="1" x14ac:dyDescent="0.35">
      <c r="B6" s="89">
        <v>3</v>
      </c>
      <c r="C6" s="90" t="s">
        <v>508</v>
      </c>
      <c r="D6" s="91" t="s">
        <v>509</v>
      </c>
      <c r="E6" s="74" t="s">
        <v>510</v>
      </c>
      <c r="F6" s="92" t="s">
        <v>264</v>
      </c>
      <c r="G6" s="19" t="s">
        <v>511</v>
      </c>
    </row>
    <row r="7" spans="2:7" ht="42" customHeight="1" x14ac:dyDescent="0.35">
      <c r="B7" s="57">
        <v>4</v>
      </c>
      <c r="C7" s="93" t="s">
        <v>512</v>
      </c>
      <c r="D7" s="94" t="s">
        <v>513</v>
      </c>
      <c r="E7" s="24" t="s">
        <v>514</v>
      </c>
      <c r="F7" s="95" t="s">
        <v>260</v>
      </c>
      <c r="G7" s="19" t="s">
        <v>515</v>
      </c>
    </row>
    <row r="8" spans="2:7" ht="42" customHeight="1" x14ac:dyDescent="0.35">
      <c r="B8" s="96">
        <v>5</v>
      </c>
      <c r="C8" s="97" t="s">
        <v>350</v>
      </c>
      <c r="D8" s="98" t="s">
        <v>516</v>
      </c>
      <c r="E8" s="30" t="s">
        <v>517</v>
      </c>
      <c r="F8" s="63" t="s">
        <v>260</v>
      </c>
      <c r="G8" s="19" t="s">
        <v>518</v>
      </c>
    </row>
    <row r="9" spans="2:7" ht="42" customHeight="1" x14ac:dyDescent="0.35">
      <c r="B9" s="99">
        <v>6</v>
      </c>
      <c r="C9" s="100" t="s">
        <v>346</v>
      </c>
      <c r="D9" s="101" t="s">
        <v>519</v>
      </c>
      <c r="E9" s="21" t="s">
        <v>520</v>
      </c>
      <c r="F9" s="102" t="s">
        <v>260</v>
      </c>
      <c r="G9" s="19" t="s">
        <v>521</v>
      </c>
    </row>
    <row r="10" spans="2:7" ht="42" customHeight="1" x14ac:dyDescent="0.35">
      <c r="B10" s="85">
        <v>7</v>
      </c>
      <c r="C10" s="86" t="s">
        <v>522</v>
      </c>
      <c r="D10" s="87" t="s">
        <v>523</v>
      </c>
      <c r="E10" s="33" t="s">
        <v>524</v>
      </c>
      <c r="F10" s="88" t="s">
        <v>269</v>
      </c>
      <c r="G10" s="19" t="s">
        <v>525</v>
      </c>
    </row>
    <row r="11" spans="2:7" ht="42" customHeight="1" x14ac:dyDescent="0.35">
      <c r="B11" s="81">
        <v>8</v>
      </c>
      <c r="C11" s="82" t="s">
        <v>526</v>
      </c>
      <c r="D11" s="83" t="s">
        <v>527</v>
      </c>
      <c r="E11" s="22" t="s">
        <v>528</v>
      </c>
      <c r="F11" s="84" t="s">
        <v>264</v>
      </c>
      <c r="G11" s="19" t="s">
        <v>529</v>
      </c>
    </row>
    <row r="12" spans="2:7" ht="9.75" customHeight="1" x14ac:dyDescent="0.35"/>
    <row r="13" spans="2:7" ht="15.75" customHeight="1" x14ac:dyDescent="0.35">
      <c r="B13" s="112" t="s">
        <v>530</v>
      </c>
      <c r="C13" s="112"/>
      <c r="D13" s="112"/>
      <c r="E13" s="112"/>
      <c r="F13" s="112"/>
      <c r="G13" s="112"/>
    </row>
    <row r="14" spans="2:7" ht="18" customHeight="1" x14ac:dyDescent="0.35">
      <c r="B14" s="17" t="s">
        <v>531</v>
      </c>
      <c r="C14" s="127" t="s">
        <v>532</v>
      </c>
      <c r="D14" s="127"/>
      <c r="E14" s="127"/>
      <c r="F14" s="127" t="s">
        <v>533</v>
      </c>
      <c r="G14" s="127"/>
    </row>
    <row r="15" spans="2:7" ht="30" customHeight="1" x14ac:dyDescent="0.35">
      <c r="B15" s="24" t="s">
        <v>534</v>
      </c>
      <c r="C15" s="126" t="s">
        <v>535</v>
      </c>
      <c r="D15" s="126"/>
      <c r="E15" s="126"/>
      <c r="F15" s="143" t="s">
        <v>536</v>
      </c>
      <c r="G15" s="143"/>
    </row>
    <row r="16" spans="2:7" ht="30" customHeight="1" x14ac:dyDescent="0.35">
      <c r="B16" s="24" t="s">
        <v>537</v>
      </c>
      <c r="C16" s="125" t="s">
        <v>538</v>
      </c>
      <c r="D16" s="125"/>
      <c r="E16" s="125"/>
      <c r="F16" s="143" t="s">
        <v>539</v>
      </c>
      <c r="G16" s="143"/>
    </row>
    <row r="17" spans="2:7" ht="30" customHeight="1" x14ac:dyDescent="0.35">
      <c r="B17" s="24" t="s">
        <v>540</v>
      </c>
      <c r="C17" s="126" t="s">
        <v>541</v>
      </c>
      <c r="D17" s="126"/>
      <c r="E17" s="126"/>
      <c r="F17" s="143" t="s">
        <v>542</v>
      </c>
      <c r="G17" s="143"/>
    </row>
    <row r="18" spans="2:7" ht="30" customHeight="1" x14ac:dyDescent="0.35">
      <c r="B18" s="24" t="s">
        <v>543</v>
      </c>
      <c r="C18" s="125" t="s">
        <v>544</v>
      </c>
      <c r="D18" s="125"/>
      <c r="E18" s="125"/>
      <c r="F18" s="143" t="s">
        <v>545</v>
      </c>
      <c r="G18" s="143"/>
    </row>
    <row r="19" spans="2:7" ht="9.75" customHeight="1" x14ac:dyDescent="0.35"/>
    <row r="20" spans="2:7" ht="15.75" customHeight="1" x14ac:dyDescent="0.35">
      <c r="B20" s="112" t="s">
        <v>546</v>
      </c>
      <c r="C20" s="112"/>
      <c r="D20" s="112"/>
      <c r="E20" s="112"/>
      <c r="F20" s="112"/>
      <c r="G20" s="112"/>
    </row>
    <row r="21" spans="2:7" ht="18" customHeight="1" x14ac:dyDescent="0.35">
      <c r="B21" s="18" t="s">
        <v>72</v>
      </c>
      <c r="C21" s="18" t="s">
        <v>73</v>
      </c>
      <c r="D21" s="142" t="s">
        <v>74</v>
      </c>
      <c r="E21" s="142"/>
      <c r="F21" s="142" t="s">
        <v>547</v>
      </c>
      <c r="G21" s="142"/>
    </row>
    <row r="22" spans="2:7" ht="24" customHeight="1" x14ac:dyDescent="0.35">
      <c r="B22" s="103">
        <v>5</v>
      </c>
      <c r="C22" s="76" t="s">
        <v>76</v>
      </c>
      <c r="D22" s="137" t="s">
        <v>77</v>
      </c>
      <c r="E22" s="137"/>
      <c r="F22" s="144" t="s">
        <v>78</v>
      </c>
      <c r="G22" s="144"/>
    </row>
    <row r="23" spans="2:7" ht="24" customHeight="1" x14ac:dyDescent="0.35">
      <c r="B23" s="104">
        <v>4</v>
      </c>
      <c r="C23" s="77" t="s">
        <v>79</v>
      </c>
      <c r="D23" s="138" t="s">
        <v>80</v>
      </c>
      <c r="E23" s="138"/>
      <c r="F23" s="144" t="s">
        <v>81</v>
      </c>
      <c r="G23" s="144"/>
    </row>
    <row r="24" spans="2:7" ht="24" customHeight="1" x14ac:dyDescent="0.35">
      <c r="B24" s="44">
        <v>3</v>
      </c>
      <c r="C24" s="78" t="s">
        <v>82</v>
      </c>
      <c r="D24" s="139" t="s">
        <v>83</v>
      </c>
      <c r="E24" s="139"/>
      <c r="F24" s="144" t="s">
        <v>84</v>
      </c>
      <c r="G24" s="144"/>
    </row>
    <row r="25" spans="2:7" ht="24" customHeight="1" x14ac:dyDescent="0.35">
      <c r="B25" s="105">
        <v>2</v>
      </c>
      <c r="C25" s="79" t="s">
        <v>85</v>
      </c>
      <c r="D25" s="140" t="s">
        <v>86</v>
      </c>
      <c r="E25" s="140"/>
      <c r="F25" s="144" t="s">
        <v>87</v>
      </c>
      <c r="G25" s="144"/>
    </row>
    <row r="26" spans="2:7" ht="24" customHeight="1" x14ac:dyDescent="0.35">
      <c r="B26" s="106">
        <v>1</v>
      </c>
      <c r="C26" s="80" t="s">
        <v>88</v>
      </c>
      <c r="D26" s="141" t="s">
        <v>89</v>
      </c>
      <c r="E26" s="141"/>
      <c r="F26" s="144" t="s">
        <v>90</v>
      </c>
      <c r="G26" s="144"/>
    </row>
  </sheetData>
  <mergeCells count="25">
    <mergeCell ref="D26:E26"/>
    <mergeCell ref="F26:G26"/>
    <mergeCell ref="D23:E23"/>
    <mergeCell ref="F23:G23"/>
    <mergeCell ref="D24:E24"/>
    <mergeCell ref="F24:G24"/>
    <mergeCell ref="D25:E25"/>
    <mergeCell ref="F25:G25"/>
    <mergeCell ref="B20:G20"/>
    <mergeCell ref="D21:E21"/>
    <mergeCell ref="F21:G21"/>
    <mergeCell ref="D22:E22"/>
    <mergeCell ref="F22:G22"/>
    <mergeCell ref="C16:E16"/>
    <mergeCell ref="F16:G16"/>
    <mergeCell ref="C17:E17"/>
    <mergeCell ref="F17:G17"/>
    <mergeCell ref="C18:E18"/>
    <mergeCell ref="F18:G18"/>
    <mergeCell ref="B1:G1"/>
    <mergeCell ref="B13:G13"/>
    <mergeCell ref="C14:E14"/>
    <mergeCell ref="F14:G14"/>
    <mergeCell ref="C15:E15"/>
    <mergeCell ref="F15:G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Session Setup</vt:lpstr>
      <vt:lpstr>📱 Structured — App 1</vt:lpstr>
      <vt:lpstr>📱 Structured — App 2</vt:lpstr>
      <vt:lpstr>App 1 (All 8)</vt:lpstr>
      <vt:lpstr>App 2 (All 8)</vt:lpstr>
      <vt:lpstr>📊 Comparative</vt:lpstr>
      <vt:lpstr>💡 Recommendations</vt:lpstr>
      <vt:lpstr>📄 Report Outline</vt:lpstr>
      <vt:lpstr>🏆 Grading Rubric</vt:lpstr>
      <vt:lpstr>📖 ISO 25010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𝗔𝗕𝗗𝗨𝗥 𝗥𝗘𝗛𝗠𝗔𝗡</cp:lastModifiedBy>
  <cp:revision>0</cp:revision>
  <dcterms:created xsi:type="dcterms:W3CDTF">2026-04-14T07:57:04Z</dcterms:created>
  <dcterms:modified xsi:type="dcterms:W3CDTF">2026-04-26T08:10:18Z</dcterms:modified>
  <dc:language>en-US</dc:language>
</cp:coreProperties>
</file>